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SEO Page Plan" sheetId="1" r:id="rId5"/>
    <sheet state="visible" name="Source Keywords" sheetId="2" r:id="rId6"/>
    <sheet state="visible" name="Keyword Audit" sheetId="3" r:id="rId7"/>
    <sheet state="visible" name="City Target Coverage" sheetId="4" r:id="rId8"/>
    <sheet state="visible" name="Scope and Sources" sheetId="5" r:id="rId9"/>
  </sheets>
  <definedNames>
    <definedName hidden="1" localSheetId="1" name="_xlnm._FilterDatabase">'Source Keywords'!$A$1:$T$33</definedName>
    <definedName hidden="1" localSheetId="2" name="_xlnm._FilterDatabase">'Keyword Audit'!$A$1:$L$33</definedName>
    <definedName hidden="1" localSheetId="3" name="_xlnm._FilterDatabase">'City Target Coverage'!$A$1:$G$24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National service keywords and metrics from 2 user Ahrefs CSV exports dated 2026-10-21. City targets sourced solely from prior Commercial Cleaning Canada keyword export; no local spill metrics or serviceability verified. This is a research master, not a publish approval.</t>
      </text>
    </comment>
    <comment authorId="0" ref="F20">
      <text>
        <t xml:space="preserve">This is a specialist cleanup page candidate. Confirm the exact service, legal/regulatory gates, qualified contractor response and safe operational scope before publishing.</t>
      </text>
    </comment>
    <comment authorId="0" ref="F19">
      <text>
        <t xml:space="preserve">This is a specialist cleanup page candidate. Confirm the exact service, legal/regulatory gates, qualified contractor response and safe operational scope before publishing.</t>
      </text>
    </comment>
    <comment authorId="0" ref="I22">
      <text>
        <t xml:space="preserve">Every city row has blank volume, KD, CPC and search intent. No current Ahrefs export contains a location-modified spill service keyword.</t>
      </text>
    </comment>
    <comment authorId="0" ref="F18">
      <text>
        <t xml:space="preserve">This is a specialist cleanup page candidate. Confirm the exact service, legal/regulatory gates, qualified contractor response and safe operational scope before publishing.</t>
      </text>
    </comment>
    <comment authorId="0" ref="F17">
      <text>
        <t xml:space="preserve">This is a specialist cleanup page candidate. Confirm the exact service, legal/regulatory gates, qualified contractor response and safe operational scope before publishing.</t>
      </text>
    </comment>
  </commentList>
</comments>
</file>

<file path=xl/sharedStrings.xml><?xml version="1.0" encoding="utf-8"?>
<sst xmlns="http://schemas.openxmlformats.org/spreadsheetml/2006/main" count="1825" uniqueCount="334">
  <si>
    <t>Source File</t>
  </si>
  <si>
    <t>#</t>
  </si>
  <si>
    <t>CANADA SPILL CLEANUP pSEO MASTER | 15 Services | 23 City/Area Targets | 360 Page Candidates</t>
  </si>
  <si>
    <t>Keyword</t>
  </si>
  <si>
    <t>Country</t>
  </si>
  <si>
    <t>Difficulty</t>
  </si>
  <si>
    <t>City / Target Area</t>
  </si>
  <si>
    <t>Source #</t>
  </si>
  <si>
    <t>Volume</t>
  </si>
  <si>
    <t>Spill Page Candidates</t>
  </si>
  <si>
    <t>CPC</t>
  </si>
  <si>
    <t>Ahrefs Keyword</t>
  </si>
  <si>
    <t>Ahrefs Spill City Keywords</t>
  </si>
  <si>
    <t>Vol/mo</t>
  </si>
  <si>
    <t>CPS</t>
  </si>
  <si>
    <t>City Spill Vol/mo</t>
  </si>
  <si>
    <t>KD</t>
  </si>
  <si>
    <t>Parent Keyword</t>
  </si>
  <si>
    <t>Geography Provenance</t>
  </si>
  <si>
    <t>CPC ($)</t>
  </si>
  <si>
    <t>Last Update</t>
  </si>
  <si>
    <t>Verification Note</t>
  </si>
  <si>
    <t>Master Primary Keyword</t>
  </si>
  <si>
    <t>SERP Features</t>
  </si>
  <si>
    <t>Page Slug</t>
  </si>
  <si>
    <t>Global volume</t>
  </si>
  <si>
    <t>Role</t>
  </si>
  <si>
    <t>Traffic potential</t>
  </si>
  <si>
    <t>National Service Family</t>
  </si>
  <si>
    <t>Global traffic potential</t>
  </si>
  <si>
    <t>Source Intent</t>
  </si>
  <si>
    <t>First seen</t>
  </si>
  <si>
    <t>Quality Note</t>
  </si>
  <si>
    <t>Intents</t>
  </si>
  <si>
    <t>Languages</t>
  </si>
  <si>
    <t>SV trend (10-2024 - 09-2026)</t>
  </si>
  <si>
    <t>SV Forecasting trend (10-2026 - 10-2027)</t>
  </si>
  <si>
    <t>Category</t>
  </si>
  <si>
    <t>google_ca_24-hour-spill-cleanup-24-7_overview_2026-10-21_23-11-16.csv</t>
  </si>
  <si>
    <t>Calgary</t>
  </si>
  <si>
    <t>1</t>
  </si>
  <si>
    <t>google_ca_commercial-cleaning_matching-terms_2026-10-16_18-22-35(1).csv</t>
  </si>
  <si>
    <t>Page Title</t>
  </si>
  <si>
    <t>emergency spill response</t>
  </si>
  <si>
    <t>Primary Keyword</t>
  </si>
  <si>
    <t>Secondary Keywords</t>
  </si>
  <si>
    <t>Target Area</t>
  </si>
  <si>
    <t>Historical target geography only. Current spill Ahrefs exports contain no city terms. Validate service, local intent, and response capability.</t>
  </si>
  <si>
    <t>Page Type</t>
  </si>
  <si>
    <t>ca</t>
  </si>
  <si>
    <t>Search Intent</t>
  </si>
  <si>
    <t>Winnipeg</t>
  </si>
  <si>
    <t>Priority</t>
  </si>
  <si>
    <t>/emergency-spill-response</t>
  </si>
  <si>
    <t>Primary</t>
  </si>
  <si>
    <t>Edmonton</t>
  </si>
  <si>
    <t>CTA</t>
  </si>
  <si>
    <t>Ottawa</t>
  </si>
  <si>
    <t>Core spill response</t>
  </si>
  <si>
    <t>Informational,Non-branded,Non-local</t>
  </si>
  <si>
    <t>CORE SPILL RESPONSE - CANADA AHREFS SERVICE TERMS</t>
  </si>
  <si>
    <t>Mixed or unreported search intent. Confirm call/service intent from SERP before publishing.</t>
  </si>
  <si>
    <t>Montreal</t>
  </si>
  <si>
    <t>2026-09-07 08:11:50</t>
  </si>
  <si>
    <t>AI Overview,Thumbnail,People also ask</t>
  </si>
  <si>
    <t>2016-07-02</t>
  </si>
  <si>
    <t>Laval</t>
  </si>
  <si>
    <t>2</t>
  </si>
  <si>
    <t>English</t>
  </si>
  <si>
    <t>33, 48, 64, 77, 62, 110, 142, 139, 119, 97, 98, 84, 174, 143, 58, 177, 220, 658, 172, 202, 104, 195, 188, 191</t>
  </si>
  <si>
    <t>199, 194, 171, 216, 221, 446, 287, 252, 291, 288, 274, 275, 284</t>
  </si>
  <si>
    <t>hazardous material cleanup</t>
  </si>
  <si>
    <t>Services</t>
  </si>
  <si>
    <t>Hamilton</t>
  </si>
  <si>
    <t>St Catharines</t>
  </si>
  <si>
    <t>Markham</t>
  </si>
  <si>
    <t>hazmat cleanup</t>
  </si>
  <si>
    <t>/hazmat-cleanup</t>
  </si>
  <si>
    <t>North York</t>
  </si>
  <si>
    <t>Secondary</t>
  </si>
  <si>
    <t>London Ontario</t>
  </si>
  <si>
    <t>Surrey BC</t>
  </si>
  <si>
    <t>3</t>
  </si>
  <si>
    <t>hazardous waste cleanup</t>
  </si>
  <si>
    <t>/hazardous-waste-cleanup</t>
  </si>
  <si>
    <t>Mississauga</t>
  </si>
  <si>
    <t>Environmental and industrial</t>
  </si>
  <si>
    <t>biohazard cleanup</t>
  </si>
  <si>
    <t>4</t>
  </si>
  <si>
    <t>Toronto</t>
  </si>
  <si>
    <t>chemical spill response</t>
  </si>
  <si>
    <t>2020-02-14</t>
  </si>
  <si>
    <t>chemical spill cleanup</t>
  </si>
  <si>
    <t>/chemical-spill-cleanup</t>
  </si>
  <si>
    <t>Halifax</t>
  </si>
  <si>
    <t>1, 1, 3, 3, 2, 3, 0, 1, 2, 49, 62, 49, 64, 67, 66, 66, 83, 62, 28, 38, 50, 56, 25, 42</t>
  </si>
  <si>
    <t>31</t>
  </si>
  <si>
    <t>/Other</t>
  </si>
  <si>
    <t>5</t>
  </si>
  <si>
    <t>emergency spill cleanup</t>
  </si>
  <si>
    <t>Regina</t>
  </si>
  <si>
    <t>Vancouver</t>
  </si>
  <si>
    <t>6</t>
  </si>
  <si>
    <t>2020-09-03</t>
  </si>
  <si>
    <t>4, 6, 3, 5, 5, 8, 7, 6, 13, 1, 5, 1, 0, 44, 72, 55, 42, 54, 45, 38, 40, 50, 32, 3</t>
  </si>
  <si>
    <t>Vaughan</t>
  </si>
  <si>
    <t>23</t>
  </si>
  <si>
    <t>Poisoning</t>
  </si>
  <si>
    <t>7</t>
  </si>
  <si>
    <t>2016-08-04</t>
  </si>
  <si>
    <t>6, 5, 2, 5, 2, 10, 17, 10, 19, 2, 8, 7, 9, 1, 29, 31, 23, 29, 33, 32, 39, 34, 39, 15</t>
  </si>
  <si>
    <t>Informational,Commercial,Transactional,Non-branded,Local</t>
  </si>
  <si>
    <t>29</t>
  </si>
  <si>
    <t>Public health; Emergency; Technical reference; Chemistry; Disasters</t>
  </si>
  <si>
    <t>8</t>
  </si>
  <si>
    <t>environmental spill response</t>
  </si>
  <si>
    <t>Etobicoke</t>
  </si>
  <si>
    <t>/environmental-spill-response</t>
  </si>
  <si>
    <t>2024-10-10</t>
  </si>
  <si>
    <t>Barrie</t>
  </si>
  <si>
    <t>1, 0, 0, 0, 0, 1, 1, 1, 0, 3, 1, 0, 1, 0, 16, 43, 27, 45, 47, 29, 17, 32, 22, 23</t>
  </si>
  <si>
    <t>9</t>
  </si>
  <si>
    <t>26</t>
  </si>
  <si>
    <t>hazardous spill response</t>
  </si>
  <si>
    <t>Emergency</t>
  </si>
  <si>
    <t>Woodbridge</t>
  </si>
  <si>
    <t>2019-10-16</t>
  </si>
  <si>
    <t>Thornhill</t>
  </si>
  <si>
    <t>5, 4, 3, 6, 2, 2, 11, 7, 21, 8, 4, 3, 3, 1, 16, 21, 25, 32, 27, 24, 44, 38, 35, 36</t>
  </si>
  <si>
    <t>37</t>
  </si>
  <si>
    <t>Expert content</t>
  </si>
  <si>
    <t>Abbotsford</t>
  </si>
  <si>
    <t>biohazard cleaning services</t>
  </si>
  <si>
    <t>2026-10-12 13:57:34</t>
  </si>
  <si>
    <t>Top ads,Paid sitelinks,People also ask,Bottom ads,Knowledge panel</t>
  </si>
  <si>
    <t>2016-09-29</t>
  </si>
  <si>
    <t>22, 10, 19, 16, 19, 13, 14, 19, 26, 74, 82, 56, 21, 16, 20, 13, 20, 29, 22, 31, 28, 35, 27, 29</t>
  </si>
  <si>
    <t>30</t>
  </si>
  <si>
    <t>Business</t>
  </si>
  <si>
    <t>10</t>
  </si>
  <si>
    <t>2020-01-27</t>
  </si>
  <si>
    <t>hazmat response services</t>
  </si>
  <si>
    <t>4, 2, 0, 2, 2, 4, 7, 9, 9, 7, 4, 5, 4, 3, 7, 9, 6, 2, 7, 4, 5, 3, 0, 9</t>
  </si>
  <si>
    <t>11</t>
  </si>
  <si>
    <t>hazmat spill cleanup</t>
  </si>
  <si>
    <t>2016-12-05</t>
  </si>
  <si>
    <t>2, 2, 0, 5, 1, 3, 0, 5, 4, 1, 0, 0, 0, 4, 2, 3, 1, 1, 2, 0, 1, 0, 0, 1</t>
  </si>
  <si>
    <t>Occupational health</t>
  </si>
  <si>
    <t>12</t>
  </si>
  <si>
    <t>environmental spill cleanup</t>
  </si>
  <si>
    <t>2022-12-22</t>
  </si>
  <si>
    <t>0, 0, 0, 0, 0, 1, 0, 0, 0, 0, 0, 0, 1, 0, 0, 0, 0, 0, 0, 0, 0, 0, 0, 0</t>
  </si>
  <si>
    <t>13</t>
  </si>
  <si>
    <t>hazardous spill cleanup</t>
  </si>
  <si>
    <t>2020-02-19</t>
  </si>
  <si>
    <t>0, 2, 0, 0, 1, 2, 1, 2, 1, 0, 0, 5, 24, 13, 0, 0, 1, 0, 4, 0, 0, 0, 1, 0</t>
  </si>
  <si>
    <t>14</t>
  </si>
  <si>
    <t>spill response company</t>
  </si>
  <si>
    <t>2024-09-07</t>
  </si>
  <si>
    <t>emergency spill cleanup; spill response company; spill cleanup company</t>
  </si>
  <si>
    <t>15</t>
  </si>
  <si>
    <t>industrial spill response</t>
  </si>
  <si>
    <t>5, 5, 10, 5, 0, 0, 0, 0, 0, 0, 0, 0, 0, 0, 0, 0, 0, 0, 0, 0, 0, 0, 0, 0</t>
  </si>
  <si>
    <t>industrial spill cleanup</t>
  </si>
  <si>
    <t>/industrial-spill-cleanup</t>
  </si>
  <si>
    <t>Canada (National)</t>
  </si>
  <si>
    <t>16</t>
  </si>
  <si>
    <t>2017-09-05</t>
  </si>
  <si>
    <t>hazardous waste spill cleanup</t>
  </si>
  <si>
    <t>2, 3, 0, 2, 0, 0, 3, 1, 1, 1, 0, 0, 0, 1, 2, 1, 0, 4, 1, 0, 0, 0, 0, 0</t>
  </si>
  <si>
    <t>17</t>
  </si>
  <si>
    <t>spill cleanup company</t>
  </si>
  <si>
    <t>2025-07-22</t>
  </si>
  <si>
    <t>0, 0, 0, 0, 0, 0, 0, 0, 0, 1, 0, 1, 1, 0, 0, 0, 3, 0, 3, 1, 0, 0, 0, 0</t>
  </si>
  <si>
    <t>2022-04-27</t>
  </si>
  <si>
    <t>0, 0, 0, 0, 0, 0, 0, 0, 0, 0, 0, 0, 0, 0, 0, 0, 1, 0, 0, 0, 1, 0, 0, 0</t>
  </si>
  <si>
    <t>18</t>
  </si>
  <si>
    <t>google_ca_acid-spill-cleanup-chemica_overview_2026-10-21_23-14-26.csv</t>
  </si>
  <si>
    <t>soil remediation services</t>
  </si>
  <si>
    <t>/soil-remediation-services</t>
  </si>
  <si>
    <t>Informational,Commercial,Non-branded,Local</t>
  </si>
  <si>
    <t>contaminated soil removal</t>
  </si>
  <si>
    <t>/contaminated-soil-removal</t>
  </si>
  <si>
    <t>Informational,Commercial,Non-branded,Non-local</t>
  </si>
  <si>
    <t>phone number</t>
  </si>
  <si>
    <t>oil spill response</t>
  </si>
  <si>
    <t>oil spill cleanup</t>
  </si>
  <si>
    <t>/oil-spill-cleanup</t>
  </si>
  <si>
    <t>gasoline spill cleanup</t>
  </si>
  <si>
    <t>/gasoline-spill-cleanup</t>
  </si>
  <si>
    <t>2020-02-03</t>
  </si>
  <si>
    <t>Specialist spills - scope review</t>
  </si>
  <si>
    <t>0, 0, 0, 0, 1, 0, 3, 1, 2, 0, 0, 0, 0, 0, 0, 0, 0, 1, 1, 0, 1, 4, 0, 1</t>
  </si>
  <si>
    <t>chemical spill response; chemical spill removal</t>
  </si>
  <si>
    <t>2020-01-22</t>
  </si>
  <si>
    <t>1, 0, 0, 0, 0, 0, 3, 1, 0, 0, 0, 0, 0, 0, 1, 4, 2, 0, 1, 0, 0, 0, 0, 0</t>
  </si>
  <si>
    <t>2025-10-14</t>
  </si>
  <si>
    <t>0, 0, 0, 0, 0, 0, 0, 0, 0, 0, 0, 0, 1, 1, 0, 0, 0, 0, 0, 2, 0, 0, 0, 0</t>
  </si>
  <si>
    <t>2016-10-26</t>
  </si>
  <si>
    <t>10, 4, 5, 12, 8, 5, 2, 13, 12, 0, 0, 0, 0, 2, 0, 0, 41, 183, 139, 162, 148, 207, 256, 255</t>
  </si>
  <si>
    <t>239</t>
  </si>
  <si>
    <t>Civil engineering</t>
  </si>
  <si>
    <t>Specialist hazardous cleanup. Confirm actual service offering and regulatory/contractor qualifications.</t>
  </si>
  <si>
    <t>oil spill response; emergency oil spill cleanup</t>
  </si>
  <si>
    <t>2016-01-20</t>
  </si>
  <si>
    <t>hydraulic oil spill cleanup</t>
  </si>
  <si>
    <t>7, 9, 8, 5, 7, 19, 18, 19, 21, 145, 128, 100, 160, 197, 76, 113, 118, 91, 73, 65, 58, 71, 67, 64</t>
  </si>
  <si>
    <t>/hydraulic-oil-spill-cleanup</t>
  </si>
  <si>
    <t>68</t>
  </si>
  <si>
    <t>Waste; Technical reference; Environment</t>
  </si>
  <si>
    <t>hazardous material cleanup; hazmat response services; hazmat spill cleanup; hazardous spill cleanup; hazardous spill response</t>
  </si>
  <si>
    <t>industrial chemical spill cleanup</t>
  </si>
  <si>
    <t>osrl</t>
  </si>
  <si>
    <t>2026-09-21 16:55:00</t>
  </si>
  <si>
    <t>/industrial-chemical-spill-cleanup</t>
  </si>
  <si>
    <t>2016-03-14</t>
  </si>
  <si>
    <t>50, 49, 43, 52, 49, 51, 49, 45, 51, 60, 59, 52, 49, 48, 43, 51, 49, 51, 48, 45, 50, 59, 58, 52</t>
  </si>
  <si>
    <t>48, 48, 42, 51, 48, 50, 47, 44, 50, 58, 57, 51, 47</t>
  </si>
  <si>
    <t>Gas; Technical reference</t>
  </si>
  <si>
    <t>contaminated soil cleanup</t>
  </si>
  <si>
    <t>oil spill clean up</t>
  </si>
  <si>
    <t>2026-09-28 08:21:05</t>
  </si>
  <si>
    <t>AI Overview,Thumbnail,Video preview,People also ask</t>
  </si>
  <si>
    <t>2016-01-06</t>
  </si>
  <si>
    <t>fuel spill cleanup</t>
  </si>
  <si>
    <t>45, 38, 44, 20, 30, 24, 28, 44, 50, 62, 65, 38, 79, 39, 44, 61, 41, 56, 38, 37, 23, 19, 16, 18</t>
  </si>
  <si>
    <t>19</t>
  </si>
  <si>
    <t>/fuel-spill-cleanup</t>
  </si>
  <si>
    <t>mercury spill cleanup</t>
  </si>
  <si>
    <t>2018-11-19</t>
  </si>
  <si>
    <t>ENVIRONMENTAL AND INDUSTRIAL - CANADA AHREFS SERVICE TERMS</t>
  </si>
  <si>
    <t>3, 6, 10, 3, 3, 2, 5, 7, 1, 3, 2, 1, 2, 3, 8, 10, 5, 9, 9, 5, 10, 8, 8, 3</t>
  </si>
  <si>
    <t>/mercury-spill-cleanup</t>
  </si>
  <si>
    <t>Household cleaning; Expert content</t>
  </si>
  <si>
    <t>chemical spill removal</t>
  </si>
  <si>
    <t>2017-08-18</t>
  </si>
  <si>
    <t>2, 5, 1, 1, 1, 0, 0, 3, 3, 0, 1, 0, 0, 0, 0, 1, 1, 0, 0, 1, 0, 0, 0, 0</t>
  </si>
  <si>
    <t>diesel spill cleanup</t>
  </si>
  <si>
    <t>/diesel-spill-cleanup</t>
  </si>
  <si>
    <t>2026-02-19</t>
  </si>
  <si>
    <t>0, 0, 0, 0, 0, 0, 0, 0, 0, 0, 0, 0, 0, 0, 0, 0, 2, 2, 0, 1, 0, 0, 0, 0</t>
  </si>
  <si>
    <t>Informational,Commercial,Transactional,Non-branded,Non-local</t>
  </si>
  <si>
    <t>fuel spill response</t>
  </si>
  <si>
    <t>2020-04-09</t>
  </si>
  <si>
    <t>1, 0, 0, 0, 0, 0, 2, 0, 0, 0, 0, 1, 1, 1, 0, 1, 0, 1, 0, 1, 0, 0, 0, 1</t>
  </si>
  <si>
    <t>2020-04-18</t>
  </si>
  <si>
    <t>1, 1, 5, 2, 0, 1, 1, 5, 17, 1, 1, 0, 0, 0, 0, 1, 1, 1, 0, 1, 0, 0, 0, 1</t>
  </si>
  <si>
    <t>2019-07-11</t>
  </si>
  <si>
    <t>1, 2, 0, 1, 0, 3, 4, 4, 4, 3, 1, 0, 1, 0, 2, 1, 4, 9, 1, 5, 5, 3, 2, 1</t>
  </si>
  <si>
    <t>2020-02-20</t>
  </si>
  <si>
    <t>0, 0, 0, 0, 0, 0, 0, 0, 0, 0, 0, 0, 0, 0, 0, 0, 0, 0, 0, 0, 0, 0, 1, 0</t>
  </si>
  <si>
    <t>2020-10-14</t>
  </si>
  <si>
    <t>2, 7, 7, 1, 11, 4, 2, 7, 13, 2, 4, 1, 0, 1, 1, 1, 1, 1, 0, 0, 2, 0, 0, 0</t>
  </si>
  <si>
    <t>2020-04-01</t>
  </si>
  <si>
    <t>0, 0, 0, 0, 0, 0, 0, 0, 0, 0, 0, 1, 1, 1, 1, 0, 0, 0, 2, 0, 2, 0, 0, 0</t>
  </si>
  <si>
    <t>emergency oil spill cleanup</t>
  </si>
  <si>
    <t>2024-12-06</t>
  </si>
  <si>
    <t>0, 0, 1, 0, 0, 1, 0, 1, 0, 0, 0, 0, 0, 0, 0, 0, 0, 1, 0, 0, 0, 0, 0, 0</t>
  </si>
  <si>
    <t>SPECIALIST SPILLS - SCOPE REVIEW - CANADA AHREFS SERVICE TERMS</t>
  </si>
  <si>
    <t>CITY / AREA SERVICE PAGES - CALGARY - LOCATION METRICS NOT AVAILABLE</t>
  </si>
  <si>
    <t>CANADA SPILL CLEANUP | EVIDENCE, SCOPE AND PUBLICATION CONTROLS</t>
  </si>
  <si>
    <t>Country / research geography</t>
  </si>
  <si>
    <t>Canada (Ahrefs CA)</t>
  </si>
  <si>
    <t>All keyword metrics refer to Canada searches, not individual municipalities.</t>
  </si>
  <si>
    <t>Primary Ahrefs export A</t>
  </si>
  <si>
    <t>Emergency spill, chemical, industrial and hazmat services.</t>
  </si>
  <si>
    <t>Primary Ahrefs export B</t>
  </si>
  <si>
    <t>Oil, fuel, soil, remediation and specialist spill services.</t>
  </si>
  <si>
    <t>Unique exported terms</t>
  </si>
  <si>
    <t>18 terms from export A plus 14 from export B; no duplicate keyword strings.</t>
  </si>
  <si>
    <t>Service topic pages</t>
  </si>
  <si>
    <t>CITY / AREA SERVICE PAGES - WINNIPEG - LOCATION METRICS NOT AVAILABLE</t>
  </si>
  <si>
    <t>All 32 exact source terms mapped once into 15 national service topics.</t>
  </si>
  <si>
    <t>Page candidates</t>
  </si>
  <si>
    <t>15 national + 15 service candidates for each of 23 prior city/area targets.</t>
  </si>
  <si>
    <t>National keywords with Volume</t>
  </si>
  <si>
    <t>Only directly reported Ahrefs volumes are populated in the national page rows.</t>
  </si>
  <si>
    <t>National keywords with KD</t>
  </si>
  <si>
    <t>True zero remains numeric zero; blank means missing data.</t>
  </si>
  <si>
    <t>National keywords with CPC</t>
  </si>
  <si>
    <t>A CPC figure is not a customer acquisition cost or proof of profitability.</t>
  </si>
  <si>
    <t>Local spill keywords in exports</t>
  </si>
  <si>
    <t>No city-modified keyword or city-level SEO metrics in either current export.</t>
  </si>
  <si>
    <t>City / area list source</t>
  </si>
  <si>
    <t>These 23 previously used Canadian city and area targets are not all Canadian municipalities.</t>
  </si>
  <si>
    <t>City page publishing status</t>
  </si>
  <si>
    <t>RESEARCH CANDIDATES ONLY</t>
  </si>
  <si>
    <t>No city-specific Ahrefs intent, search volume, KD, CPC, serviceability, availability or 24-hour commitment established.</t>
  </si>
  <si>
    <t>Demand quality</t>
  </si>
  <si>
    <t>Mixed evidence</t>
  </si>
  <si>
    <t>Many exported phrases carry informational Ahrefs intent; service inquiry and lead quality need confirmation.</t>
  </si>
  <si>
    <t>Specialist fulfillment</t>
  </si>
  <si>
    <t>UNKNOWN</t>
  </si>
  <si>
    <t>Hazmat, hazardous waste, mercury, chemical, petroleum and soil remediation may require trained or regulated providers.</t>
  </si>
  <si>
    <t>Response hours</t>
  </si>
  <si>
    <t>Avoid claiming immediate, same-day, 24-hour or 24/7 service without operator confirmation.</t>
  </si>
  <si>
    <t>Existing capabilities</t>
  </si>
  <si>
    <t>EXTENSION hypothesis</t>
  </si>
  <si>
    <t>Check overlap with existing biohazard, restoration, contamination and emergency cleaning services.</t>
  </si>
  <si>
    <t>Page Type and Priority</t>
  </si>
  <si>
    <t>Blank</t>
  </si>
  <si>
    <t>Not supplied as verified source fields. Do not assign artificial scores.</t>
  </si>
  <si>
    <t>Exact user-requested CTA on all 360 master rows.</t>
  </si>
  <si>
    <t>Currency</t>
  </si>
  <si>
    <t>Unspecified in source</t>
  </si>
  <si>
    <t>Ahrefs CPC (source field) is reproduced as given, not converted to CAD or interpreted as actual paid CPC.</t>
  </si>
  <si>
    <t>No thin pages</t>
  </si>
  <si>
    <t>Required publishing gate</t>
  </si>
  <si>
    <t>Do not publish identical city templates. Require genuinely useful local content and actual serviceability before production.</t>
  </si>
  <si>
    <t>Outcome / validation owner</t>
  </si>
  <si>
    <t>Marketing / operations with Ahmad validation</t>
  </si>
  <si>
    <t>Review service and geographic fit, publish scope through responsible owners, then measure calls and booked jobs.</t>
  </si>
  <si>
    <t>CITY / AREA SERVICE PAGES - EDMONTON - LOCATION METRICS NOT AVAILABLE</t>
  </si>
  <si>
    <t>CITY / AREA SERVICE PAGES - OTTAWA - LOCATION METRICS NOT AVAILABLE</t>
  </si>
  <si>
    <t>CITY / AREA SERVICE PAGES - MONTREAL - LOCATION METRICS NOT AVAILABLE</t>
  </si>
  <si>
    <t>CITY / AREA SERVICE PAGES - LAVAL - LOCATION METRICS NOT AVAILABLE</t>
  </si>
  <si>
    <t>CITY / AREA SERVICE PAGES - HAMILTON - LOCATION METRICS NOT AVAILABLE</t>
  </si>
  <si>
    <t>CITY / AREA SERVICE PAGES - ST CATHARINES - LOCATION METRICS NOT AVAILABLE</t>
  </si>
  <si>
    <t>CITY / AREA SERVICE PAGES - MARKHAM - LOCATION METRICS NOT AVAILABLE</t>
  </si>
  <si>
    <t>CITY / AREA SERVICE PAGES - NORTH YORK - LOCATION METRICS NOT AVAILABLE</t>
  </si>
  <si>
    <t>CITY / AREA SERVICE PAGES - LONDON ONTARIO - LOCATION METRICS NOT AVAILABLE</t>
  </si>
  <si>
    <t>CITY / AREA SERVICE PAGES - SURREY BC - LOCATION METRICS NOT AVAILABLE</t>
  </si>
  <si>
    <t>CITY / AREA SERVICE PAGES - MISSISSAUGA - LOCATION METRICS NOT AVAILABLE</t>
  </si>
  <si>
    <t>CITY / AREA SERVICE PAGES - TORONTO - LOCATION METRICS NOT AVAILABLE</t>
  </si>
  <si>
    <t>CITY / AREA SERVICE PAGES - HALIFAX - LOCATION METRICS NOT AVAILABLE</t>
  </si>
  <si>
    <t>CITY / AREA SERVICE PAGES - REGINA - LOCATION METRICS NOT AVAILABLE</t>
  </si>
  <si>
    <t>CITY / AREA SERVICE PAGES - VANCOUVER - LOCATION METRICS NOT AVAILABLE</t>
  </si>
  <si>
    <t>CITY / AREA SERVICE PAGES - VAUGHAN - LOCATION METRICS NOT AVAILABLE</t>
  </si>
  <si>
    <t>CITY / AREA SERVICE PAGES - ETOBICOKE - LOCATION METRICS NOT AVAILABLE</t>
  </si>
  <si>
    <t>CITY / AREA SERVICE PAGES - BARRIE - LOCATION METRICS NOT AVAILABLE</t>
  </si>
  <si>
    <t>CITY / AREA SERVICE PAGES - WOODBRIDGE - LOCATION METRICS NOT AVAILABLE</t>
  </si>
  <si>
    <t>CITY / AREA SERVICE PAGES - THORNHILL - LOCATION METRICS NOT AVAILABLE</t>
  </si>
  <si>
    <t>CITY / AREA SERVICE PAGES - ABBOTSFORD - LOCATION METRICS NOT AVAILABLE</t>
  </si>
  <si>
    <t>TOTAL: 360 PAGE CANDIDATES | 15 NATIONAL SOURCE PAGES | 345 UNMEASURED CITY EXPANSION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</si>
</sst>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1.0"/>
      <color theme="1"/>
      <name val="Calibri"/>
      <scheme val="minor"/>
    </font>
    <font>
      <b/>
      <sz val="10.0"/>
      <color rgb="FFFFFFFF"/>
      <name val="Aptos"/>
    </font>
    <font>
      <b/>
      <color rgb="FFFFFFFF"/>
      <name val="Aptos"/>
    </font>
    <font>
      <b/>
      <sz val="15.0"/>
      <color rgb="FFFFFFFF"/>
      <name val="Play"/>
    </font>
    <font/>
    <font>
      <sz val="10.0"/>
      <color rgb="FF192C40"/>
      <name val="Aptos"/>
    </font>
    <font>
      <sz val="9.0"/>
      <color rgb="FF192C40"/>
      <name val="Aptos"/>
    </font>
    <font>
      <sz val="9.0"/>
      <color rgb="FF203143"/>
      <name val="Aptos"/>
    </font>
    <font>
      <sz val="9.0"/>
      <color rgb="FF17774C"/>
      <name val="Aptos"/>
    </font>
    <font>
      <b/>
      <sz val="9.0"/>
      <color rgb="FF18713F"/>
      <name val="Aptos"/>
    </font>
    <font>
      <sz val="9.0"/>
      <color rgb="FF18713F"/>
      <name val="Aptos"/>
    </font>
    <font>
      <b/>
      <sz val="11.0"/>
      <color rgb="FF8A1A1A"/>
      <name val="Aptos"/>
    </font>
    <font>
      <sz val="10.0"/>
      <color rgb="FF677788"/>
      <name val="Aptos"/>
    </font>
    <font>
      <b/>
      <sz val="10.0"/>
      <color rgb="FF0D2B55"/>
      <name val="Aptos"/>
    </font>
    <font>
      <sz val="10.0"/>
      <color rgb="FF0070C0"/>
      <name val="Aptos"/>
    </font>
    <font>
      <b/>
      <sz val="10.0"/>
      <color rgb="FF18713F"/>
      <name val="Aptos"/>
    </font>
    <font>
      <sz val="10.0"/>
      <color rgb="FF18713F"/>
      <name val="Aptos"/>
    </font>
    <font>
      <b/>
      <sz val="10.0"/>
      <color rgb="FF8A1A1A"/>
      <name val="Aptos"/>
    </font>
    <font>
      <sz val="10.0"/>
      <color rgb="FF203143"/>
      <name val="Aptos"/>
    </font>
    <font>
      <b/>
      <sz val="10.0"/>
      <color rgb="FF5A3E8A"/>
      <name val="Aptos"/>
    </font>
    <font>
      <b/>
      <sz val="11.0"/>
      <color rgb="FF205879"/>
      <name val="Aptos"/>
    </font>
    <font>
      <b/>
      <sz val="10.0"/>
      <color rgb="FF205879"/>
      <name val="Aptos"/>
    </font>
    <font>
      <b/>
      <sz val="10.0"/>
      <color rgb="FF152B42"/>
      <name val="Aptos"/>
    </font>
    <font>
      <sz val="10.0"/>
      <color rgb="FF152B42"/>
      <name val="Aptos"/>
    </font>
  </fonts>
  <fills count="14">
    <fill>
      <patternFill patternType="none"/>
    </fill>
    <fill>
      <patternFill patternType="lightGray"/>
    </fill>
    <fill>
      <patternFill patternType="solid">
        <fgColor rgb="FF1A4A8A"/>
        <bgColor rgb="FF1A4A8A"/>
      </patternFill>
    </fill>
    <fill>
      <patternFill patternType="solid">
        <fgColor rgb="FF143655"/>
        <bgColor rgb="FF143655"/>
      </patternFill>
    </fill>
    <fill>
      <patternFill patternType="solid">
        <fgColor rgb="FF0D2B55"/>
        <bgColor rgb="FF0D2B55"/>
      </patternFill>
    </fill>
    <fill>
      <patternFill patternType="solid">
        <fgColor rgb="FFF5F8FA"/>
        <bgColor rgb="FFF5F8FA"/>
      </patternFill>
    </fill>
    <fill>
      <patternFill patternType="solid">
        <fgColor rgb="FFFFF3DE"/>
        <bgColor rgb="FFFFF3DE"/>
      </patternFill>
    </fill>
    <fill>
      <patternFill patternType="solid">
        <fgColor rgb="FFFFFFFF"/>
        <bgColor rgb="FFFFFFFF"/>
      </patternFill>
    </fill>
    <fill>
      <patternFill patternType="solid">
        <fgColor rgb="FFDDF1EE"/>
        <bgColor rgb="FFDDF1EE"/>
      </patternFill>
    </fill>
    <fill>
      <patternFill patternType="solid">
        <fgColor rgb="FFF7D6D6"/>
        <bgColor rgb="FFF7D6D6"/>
      </patternFill>
    </fill>
    <fill>
      <patternFill patternType="solid">
        <fgColor rgb="FFF4F5F7"/>
        <bgColor rgb="FFF4F5F7"/>
      </patternFill>
    </fill>
    <fill>
      <patternFill patternType="solid">
        <fgColor rgb="FFFFF0D8"/>
        <bgColor rgb="FFFFF0D8"/>
      </patternFill>
    </fill>
    <fill>
      <patternFill patternType="solid">
        <fgColor rgb="FFDCEAF5"/>
        <bgColor rgb="FFDCEAF5"/>
      </patternFill>
    </fill>
    <fill>
      <patternFill patternType="solid">
        <fgColor rgb="FFEEF4F7"/>
        <bgColor rgb="FFEEF4F7"/>
      </patternFill>
    </fill>
  </fills>
  <borders count="5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1" fillId="3" fontId="2" numFmtId="0" xfId="0" applyAlignment="1" applyBorder="1" applyFill="1" applyFont="1">
      <alignment shrinkToFit="0" vertical="center" wrapText="1"/>
    </xf>
    <xf borderId="1" fillId="3" fontId="1" numFmtId="0" xfId="0" applyAlignment="1" applyBorder="1" applyFill="1" applyFont="1">
      <alignment shrinkToFit="0" vertical="center" wrapText="1"/>
    </xf>
    <xf borderId="2" fillId="4" fontId="3" numFmtId="0" xfId="0" applyAlignment="1" applyBorder="1" applyFill="1" applyFont="1">
      <alignment vertical="center"/>
    </xf>
    <xf borderId="3" fillId="0" fontId="4" numFmtId="0" xfId="0" applyBorder="1" applyFont="1"/>
    <xf borderId="4" fillId="0" fontId="4" numFmtId="0" xfId="0" applyBorder="1" applyFont="1"/>
    <xf borderId="1" fillId="5" fontId="5" numFmtId="0" xfId="0" applyAlignment="1" applyBorder="1" applyFill="1" applyFont="1">
      <alignment vertical="center"/>
    </xf>
    <xf borderId="1" fillId="5" fontId="6" numFmtId="0" xfId="0" applyAlignment="1" applyBorder="1" applyFill="1" applyFont="1">
      <alignment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6" fontId="5" numFmtId="0" xfId="0" applyAlignment="1" applyBorder="1" applyFill="1" applyFont="1">
      <alignment vertical="center"/>
    </xf>
    <xf borderId="1" fillId="5" fontId="6" numFmtId="0" xfId="0" applyAlignment="1" applyBorder="1" applyFill="1" applyFont="1">
      <alignment vertical="center"/>
    </xf>
    <xf borderId="1" fillId="7" fontId="7" numFmtId="3" xfId="0" applyAlignment="1" applyBorder="1" applyFill="1" applyFont="1" applyNumberFormat="1">
      <alignment vertical="center"/>
    </xf>
    <xf borderId="1" fillId="5" fontId="5" numFmtId="0" xfId="0" applyAlignment="1" applyBorder="1" applyFill="1" applyFont="1">
      <alignment shrinkToFit="0" vertical="center" wrapText="1"/>
    </xf>
    <xf borderId="1" fillId="2" fontId="1" numFmtId="0" xfId="0" applyAlignment="1" applyBorder="1" applyFill="1" applyFont="1">
      <alignment horizontal="left" shrinkToFit="0" vertical="center" wrapText="1"/>
    </xf>
    <xf borderId="1" fillId="5" fontId="8" numFmtId="0" xfId="0" applyAlignment="1" applyBorder="1" applyFill="1" applyFont="1">
      <alignment shrinkToFit="0" vertical="center" wrapText="1"/>
    </xf>
    <xf borderId="1" fillId="7" fontId="9" numFmtId="0" xfId="0" applyAlignment="1" applyBorder="1" applyFill="1" applyFont="1">
      <alignment vertical="center"/>
    </xf>
    <xf borderId="1" fillId="5" fontId="8" numFmtId="0" xfId="0" applyAlignment="1" applyBorder="1" applyFill="1" applyFont="1">
      <alignment vertical="center"/>
    </xf>
    <xf borderId="0" fillId="0" fontId="5" numFmtId="0" xfId="0" applyAlignment="1" applyFont="1">
      <alignment vertical="center"/>
    </xf>
    <xf borderId="1" fillId="7" fontId="7" numFmtId="0" xfId="0" applyAlignment="1" applyBorder="1" applyFill="1" applyFont="1">
      <alignment vertical="center"/>
    </xf>
    <xf borderId="1" fillId="5" fontId="8" numFmtId="2" xfId="0" applyAlignment="1" applyBorder="1" applyFill="1" applyFont="1" applyNumberFormat="1">
      <alignment vertical="center"/>
    </xf>
    <xf borderId="1" fillId="7" fontId="10" numFmtId="3" xfId="0" applyAlignment="1" applyBorder="1" applyFill="1" applyFont="1" applyNumberFormat="1">
      <alignment vertical="center"/>
    </xf>
    <xf borderId="0" fillId="0" fontId="5" numFmtId="0" xfId="0" applyAlignment="1" applyFont="1">
      <alignment shrinkToFit="0" vertical="center" wrapText="1"/>
    </xf>
    <xf borderId="1" fillId="7" fontId="10" numFmtId="2" xfId="0" applyAlignment="1" applyBorder="1" applyFill="1" applyFont="1" applyNumberFormat="1">
      <alignment vertical="center"/>
    </xf>
    <xf borderId="1" fillId="8" fontId="6" numFmtId="0" xfId="0" applyAlignment="1" applyBorder="1" applyFill="1" applyFont="1">
      <alignment vertical="center"/>
    </xf>
    <xf borderId="1" fillId="7" fontId="7" numFmtId="2" xfId="0" applyAlignment="1" applyBorder="1" applyFill="1" applyFont="1" applyNumberFormat="1">
      <alignment vertical="center"/>
    </xf>
    <xf borderId="0" fillId="0" fontId="6" numFmtId="0" xfId="0" applyAlignment="1" applyFont="1">
      <alignment shrinkToFit="0" vertical="center" wrapText="1"/>
    </xf>
    <xf borderId="0" fillId="0" fontId="6" numFmtId="0" xfId="0" applyAlignment="1" applyFont="1">
      <alignment vertical="center"/>
    </xf>
    <xf borderId="2" fillId="9" fontId="11" numFmtId="0" xfId="0" applyAlignment="1" applyBorder="1" applyFill="1" applyFont="1">
      <alignment vertical="center"/>
    </xf>
    <xf borderId="0" fillId="0" fontId="8" numFmtId="0" xfId="0" applyAlignment="1" applyFont="1">
      <alignment shrinkToFit="0" vertical="center" wrapText="1"/>
    </xf>
    <xf borderId="1" fillId="10" fontId="7" numFmtId="3" xfId="0" applyAlignment="1" applyBorder="1" applyFill="1" applyFont="1" applyNumberFormat="1">
      <alignment vertical="center"/>
    </xf>
    <xf borderId="0" fillId="0" fontId="8" numFmtId="0" xfId="0" applyAlignment="1" applyFont="1">
      <alignment vertical="center"/>
    </xf>
    <xf borderId="0" fillId="0" fontId="8" numFmtId="2" xfId="0" applyAlignment="1" applyFont="1" applyNumberFormat="1">
      <alignment vertical="center"/>
    </xf>
    <xf borderId="1" fillId="10" fontId="9" numFmtId="0" xfId="0" applyAlignment="1" applyBorder="1" applyFill="1" applyFont="1">
      <alignment vertical="center"/>
    </xf>
    <xf borderId="1" fillId="10" fontId="7" numFmtId="0" xfId="0" applyAlignment="1" applyBorder="1" applyFill="1" applyFont="1">
      <alignment vertical="center"/>
    </xf>
    <xf borderId="1" fillId="6" fontId="6" numFmtId="0" xfId="0" applyAlignment="1" applyBorder="1" applyFill="1" applyFont="1">
      <alignment vertical="center"/>
    </xf>
    <xf borderId="1" fillId="7" fontId="12" numFmtId="0" xfId="0" applyAlignment="1" applyBorder="1" applyFill="1" applyFont="1">
      <alignment horizontal="right" vertical="center"/>
    </xf>
    <xf borderId="1" fillId="10" fontId="10" numFmtId="3" xfId="0" applyAlignment="1" applyBorder="1" applyFill="1" applyFont="1" applyNumberFormat="1">
      <alignment vertical="center"/>
    </xf>
    <xf borderId="1" fillId="10" fontId="10" numFmtId="2" xfId="0" applyAlignment="1" applyBorder="1" applyFill="1" applyFont="1" applyNumberFormat="1">
      <alignment vertical="center"/>
    </xf>
    <xf borderId="1" fillId="10" fontId="7" numFmtId="2" xfId="0" applyAlignment="1" applyBorder="1" applyFill="1" applyFont="1" applyNumberFormat="1">
      <alignment vertical="center"/>
    </xf>
    <xf borderId="1" fillId="7" fontId="13" numFmtId="0" xfId="0" applyAlignment="1" applyBorder="1" applyFill="1" applyFont="1">
      <alignment horizontal="left" shrinkToFit="0" vertical="center" wrapText="1"/>
    </xf>
    <xf borderId="1" fillId="7" fontId="14" numFmtId="0" xfId="0" applyAlignment="1" applyBorder="1" applyFill="1" applyFont="1">
      <alignment horizontal="left" vertical="center"/>
    </xf>
    <xf borderId="1" fillId="7" fontId="15" numFmtId="0" xfId="0" applyAlignment="1" applyBorder="1" applyFill="1" applyFont="1">
      <alignment horizontal="left" shrinkToFit="0" vertical="center" wrapText="1"/>
    </xf>
    <xf borderId="1" fillId="7" fontId="16" numFmtId="0" xfId="0" applyAlignment="1" applyBorder="1" applyFill="1" applyFont="1">
      <alignment horizontal="left" shrinkToFit="0" vertical="center" wrapText="1"/>
    </xf>
    <xf borderId="1" fillId="9" fontId="17" numFmtId="0" xfId="0" applyAlignment="1" applyBorder="1" applyFill="1" applyFont="1">
      <alignment horizontal="left" shrinkToFit="0" vertical="center" wrapText="1"/>
    </xf>
    <xf borderId="1" fillId="7" fontId="18" numFmtId="0" xfId="0" applyAlignment="1" applyBorder="1" applyFill="1" applyFont="1">
      <alignment horizontal="left" vertical="center"/>
    </xf>
    <xf borderId="1" fillId="7" fontId="15" numFmtId="3" xfId="0" applyAlignment="1" applyBorder="1" applyFill="1" applyFont="1" applyNumberFormat="1">
      <alignment horizontal="right" vertical="center"/>
    </xf>
    <xf borderId="1" fillId="7" fontId="16" numFmtId="1" xfId="0" applyAlignment="1" applyBorder="1" applyFill="1" applyFont="1" applyNumberFormat="1">
      <alignment horizontal="right" vertical="center"/>
    </xf>
    <xf borderId="1" fillId="7" fontId="16" numFmtId="2" xfId="0" applyAlignment="1" applyBorder="1" applyFill="1" applyFont="1" applyNumberFormat="1">
      <alignment horizontal="right" vertical="center"/>
    </xf>
    <xf borderId="1" fillId="7" fontId="19" numFmtId="0" xfId="0" applyAlignment="1" applyBorder="1" applyFill="1" applyFont="1">
      <alignment horizontal="center" vertical="center"/>
    </xf>
    <xf borderId="1" fillId="10" fontId="12" numFmtId="0" xfId="0" applyAlignment="1" applyBorder="1" applyFill="1" applyFont="1">
      <alignment horizontal="right" vertical="center"/>
    </xf>
    <xf borderId="1" fillId="10" fontId="13" numFmtId="0" xfId="0" applyAlignment="1" applyBorder="1" applyFill="1" applyFont="1">
      <alignment horizontal="left" shrinkToFit="0" vertical="center" wrapText="1"/>
    </xf>
    <xf borderId="1" fillId="10" fontId="14" numFmtId="0" xfId="0" applyAlignment="1" applyBorder="1" applyFill="1" applyFont="1">
      <alignment horizontal="left" vertical="center"/>
    </xf>
    <xf borderId="1" fillId="10" fontId="15" numFmtId="0" xfId="0" applyAlignment="1" applyBorder="1" applyFill="1" applyFont="1">
      <alignment horizontal="left" shrinkToFit="0" vertical="center" wrapText="1"/>
    </xf>
    <xf borderId="1" fillId="10" fontId="16" numFmtId="0" xfId="0" applyAlignment="1" applyBorder="1" applyFill="1" applyFont="1">
      <alignment horizontal="left" shrinkToFit="0" vertical="center" wrapText="1"/>
    </xf>
    <xf borderId="1" fillId="10" fontId="18" numFmtId="0" xfId="0" applyAlignment="1" applyBorder="1" applyFill="1" applyFont="1">
      <alignment horizontal="left" vertical="center"/>
    </xf>
    <xf borderId="1" fillId="10" fontId="15" numFmtId="3" xfId="0" applyAlignment="1" applyBorder="1" applyFill="1" applyFont="1" applyNumberFormat="1">
      <alignment horizontal="right" vertical="center"/>
    </xf>
    <xf borderId="1" fillId="10" fontId="16" numFmtId="1" xfId="0" applyAlignment="1" applyBorder="1" applyFill="1" applyFont="1" applyNumberFormat="1">
      <alignment horizontal="right" vertical="center"/>
    </xf>
    <xf borderId="1" fillId="10" fontId="16" numFmtId="2" xfId="0" applyAlignment="1" applyBorder="1" applyFill="1" applyFont="1" applyNumberFormat="1">
      <alignment horizontal="right" vertical="center"/>
    </xf>
    <xf borderId="1" fillId="10" fontId="19" numFmtId="0" xfId="0" applyAlignment="1" applyBorder="1" applyFill="1" applyFont="1">
      <alignment horizontal="center" vertical="center"/>
    </xf>
    <xf borderId="1" fillId="11" fontId="17" numFmtId="0" xfId="0" applyAlignment="1" applyBorder="1" applyFill="1" applyFont="1">
      <alignment horizontal="left" shrinkToFit="0" vertical="center" wrapText="1"/>
    </xf>
    <xf borderId="2" fillId="12" fontId="20" numFmtId="0" xfId="0" applyAlignment="1" applyBorder="1" applyFill="1" applyFont="1">
      <alignment vertical="center"/>
    </xf>
    <xf borderId="1" fillId="12" fontId="21" numFmtId="0" xfId="0" applyAlignment="1" applyBorder="1" applyFill="1" applyFont="1">
      <alignment horizontal="left" shrinkToFit="0" vertical="center" wrapText="1"/>
    </xf>
    <xf borderId="2" fillId="4" fontId="3" numFmtId="0" xfId="0" applyBorder="1" applyFill="1" applyFont="1"/>
    <xf borderId="1" fillId="11" fontId="21" numFmtId="0" xfId="0" applyAlignment="1" applyBorder="1" applyFill="1" applyFont="1">
      <alignment horizontal="left" shrinkToFit="0" vertical="center" wrapText="1"/>
    </xf>
    <xf borderId="1" fillId="13" fontId="22" numFmtId="0" xfId="0" applyAlignment="1" applyBorder="1" applyFill="1" applyFont="1">
      <alignment shrinkToFit="0" vertical="center" wrapText="1"/>
    </xf>
    <xf borderId="1" fillId="13" fontId="23" numFmtId="0" xfId="0" applyAlignment="1" applyBorder="1" applyFill="1" applyFont="1">
      <alignment shrinkToFit="0" vertical="center" wrapText="1"/>
    </xf>
    <xf borderId="0" fillId="0" fontId="22" numFmtId="0" xfId="0" applyAlignment="1" applyFont="1">
      <alignment shrinkToFit="0" vertical="center" wrapText="1"/>
    </xf>
    <xf borderId="0" fillId="0" fontId="23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7.0"/>
    <col customWidth="1" min="2" max="2" width="58.0"/>
    <col customWidth="1" min="3" max="3" width="54.0"/>
    <col customWidth="1" min="4" max="4" width="44.0"/>
    <col customWidth="1" min="5" max="5" width="43.0"/>
    <col customWidth="1" min="6" max="6" width="24.0"/>
    <col customWidth="1" min="7" max="7" width="16.0"/>
    <col customWidth="1" min="8" max="8" width="70.0"/>
    <col customWidth="1" min="9" max="9" width="13.0"/>
    <col customWidth="1" min="10" max="10" width="10.0"/>
    <col customWidth="1" min="11" max="11" width="14.0"/>
    <col customWidth="1" min="12" max="12" width="15.0"/>
    <col customWidth="1" min="13" max="13" width="20.0"/>
    <col customWidth="1" min="14" max="26" width="8.71"/>
  </cols>
  <sheetData>
    <row r="1" ht="39.75" customHeight="1">
      <c r="A1" s="4" t="s">
        <v>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</row>
    <row r="2" ht="33.75" customHeight="1">
      <c r="A2" s="9" t="s">
        <v>1</v>
      </c>
      <c r="B2" s="14" t="s">
        <v>42</v>
      </c>
      <c r="C2" s="14" t="s">
        <v>24</v>
      </c>
      <c r="D2" s="14" t="s">
        <v>44</v>
      </c>
      <c r="E2" s="14" t="s">
        <v>45</v>
      </c>
      <c r="F2" s="14" t="s">
        <v>46</v>
      </c>
      <c r="G2" s="14" t="s">
        <v>48</v>
      </c>
      <c r="H2" s="14" t="s">
        <v>50</v>
      </c>
      <c r="I2" s="9" t="s">
        <v>13</v>
      </c>
      <c r="J2" s="9" t="s">
        <v>16</v>
      </c>
      <c r="K2" s="9" t="s">
        <v>19</v>
      </c>
      <c r="L2" s="9" t="s">
        <v>52</v>
      </c>
      <c r="M2" s="9" t="s">
        <v>56</v>
      </c>
    </row>
    <row r="3" ht="27.0" customHeight="1">
      <c r="A3" s="28" t="s">
        <v>60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6"/>
    </row>
    <row r="4" ht="48.75" customHeight="1">
      <c r="A4" s="36">
        <v>1.0</v>
      </c>
      <c r="B4" s="40" t="str">
        <f t="shared" ref="B4:B9" si="1">PROPER(D4)&amp;" Canada | Call Now"</f>
        <v>Emergency Spill Response Canada | Call Now</v>
      </c>
      <c r="C4" s="41" t="str">
        <f t="shared" ref="C4:C9" si="2">"/"&amp;SUBSTITUTE(LOWER(TRIM(D4))," ","-")</f>
        <v>/emergency-spill-response</v>
      </c>
      <c r="D4" s="42" t="s">
        <v>43</v>
      </c>
      <c r="E4" s="43" t="s">
        <v>159</v>
      </c>
      <c r="F4" s="44" t="s">
        <v>165</v>
      </c>
      <c r="G4" s="45"/>
      <c r="H4" s="43" t="s">
        <v>59</v>
      </c>
      <c r="I4" s="46">
        <v>200.0</v>
      </c>
      <c r="J4" s="47">
        <v>3.0</v>
      </c>
      <c r="K4" s="48">
        <v>2.5</v>
      </c>
      <c r="L4" s="45"/>
      <c r="M4" s="49" t="s">
        <v>184</v>
      </c>
    </row>
    <row r="5" ht="48.75" customHeight="1">
      <c r="A5" s="50">
        <v>2.0</v>
      </c>
      <c r="B5" s="51" t="str">
        <f t="shared" si="1"/>
        <v>Chemical Spill Cleanup Canada | Call Now</v>
      </c>
      <c r="C5" s="52" t="str">
        <f t="shared" si="2"/>
        <v>/chemical-spill-cleanup</v>
      </c>
      <c r="D5" s="53" t="s">
        <v>92</v>
      </c>
      <c r="E5" s="54" t="s">
        <v>193</v>
      </c>
      <c r="F5" s="44" t="s">
        <v>165</v>
      </c>
      <c r="G5" s="55"/>
      <c r="H5" s="54" t="s">
        <v>59</v>
      </c>
      <c r="I5" s="56">
        <v>30.0</v>
      </c>
      <c r="J5" s="57"/>
      <c r="K5" s="58"/>
      <c r="L5" s="55"/>
      <c r="M5" s="59" t="s">
        <v>184</v>
      </c>
    </row>
    <row r="6" ht="48.75" customHeight="1">
      <c r="A6" s="36">
        <v>3.0</v>
      </c>
      <c r="B6" s="40" t="str">
        <f t="shared" si="1"/>
        <v>Oil Spill Cleanup Canada | Call Now</v>
      </c>
      <c r="C6" s="41" t="str">
        <f t="shared" si="2"/>
        <v>/oil-spill-cleanup</v>
      </c>
      <c r="D6" s="42" t="s">
        <v>186</v>
      </c>
      <c r="E6" s="43" t="s">
        <v>203</v>
      </c>
      <c r="F6" s="44" t="s">
        <v>165</v>
      </c>
      <c r="G6" s="45"/>
      <c r="H6" s="43" t="s">
        <v>180</v>
      </c>
      <c r="I6" s="46">
        <v>40.0</v>
      </c>
      <c r="J6" s="47">
        <v>0.0</v>
      </c>
      <c r="K6" s="48">
        <v>1.4</v>
      </c>
      <c r="L6" s="45"/>
      <c r="M6" s="49" t="s">
        <v>184</v>
      </c>
    </row>
    <row r="7" ht="48.75" customHeight="1">
      <c r="A7" s="50">
        <v>4.0</v>
      </c>
      <c r="B7" s="51" t="str">
        <f t="shared" si="1"/>
        <v>Hazmat Cleanup Canada | Call Now</v>
      </c>
      <c r="C7" s="52" t="str">
        <f t="shared" si="2"/>
        <v>/hazmat-cleanup</v>
      </c>
      <c r="D7" s="53" t="s">
        <v>76</v>
      </c>
      <c r="E7" s="54" t="s">
        <v>210</v>
      </c>
      <c r="F7" s="44" t="s">
        <v>165</v>
      </c>
      <c r="G7" s="55"/>
      <c r="H7" s="54" t="s">
        <v>111</v>
      </c>
      <c r="I7" s="56">
        <v>20.0</v>
      </c>
      <c r="J7" s="57">
        <v>0.0</v>
      </c>
      <c r="K7" s="58">
        <v>2.0</v>
      </c>
      <c r="L7" s="55"/>
      <c r="M7" s="59" t="s">
        <v>184</v>
      </c>
    </row>
    <row r="8" ht="48.75" customHeight="1">
      <c r="A8" s="36">
        <v>5.0</v>
      </c>
      <c r="B8" s="40" t="str">
        <f t="shared" si="1"/>
        <v>Soil Remediation Services Canada | Call Now</v>
      </c>
      <c r="C8" s="41" t="str">
        <f t="shared" si="2"/>
        <v>/soil-remediation-services</v>
      </c>
      <c r="D8" s="42" t="s">
        <v>178</v>
      </c>
      <c r="E8" s="43" t="s">
        <v>219</v>
      </c>
      <c r="F8" s="44" t="s">
        <v>165</v>
      </c>
      <c r="G8" s="45"/>
      <c r="H8" s="43" t="s">
        <v>180</v>
      </c>
      <c r="I8" s="46">
        <v>100.0</v>
      </c>
      <c r="J8" s="47"/>
      <c r="K8" s="48"/>
      <c r="L8" s="45"/>
      <c r="M8" s="49" t="s">
        <v>184</v>
      </c>
    </row>
    <row r="9" ht="36.75" customHeight="1">
      <c r="A9" s="50">
        <v>6.0</v>
      </c>
      <c r="B9" s="51" t="str">
        <f t="shared" si="1"/>
        <v>Contaminated Soil Removal Canada | Call Now</v>
      </c>
      <c r="C9" s="52" t="str">
        <f t="shared" si="2"/>
        <v>/contaminated-soil-removal</v>
      </c>
      <c r="D9" s="53" t="s">
        <v>181</v>
      </c>
      <c r="E9" s="54"/>
      <c r="F9" s="44" t="s">
        <v>165</v>
      </c>
      <c r="G9" s="55"/>
      <c r="H9" s="54" t="s">
        <v>183</v>
      </c>
      <c r="I9" s="56">
        <v>100.0</v>
      </c>
      <c r="J9" s="57">
        <v>0.0</v>
      </c>
      <c r="K9" s="58">
        <v>1.2</v>
      </c>
      <c r="L9" s="55"/>
      <c r="M9" s="59" t="s">
        <v>184</v>
      </c>
    </row>
    <row r="10" ht="27.0" customHeight="1">
      <c r="A10" s="28" t="s">
        <v>230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6"/>
    </row>
    <row r="11" ht="48.75" customHeight="1">
      <c r="A11" s="36">
        <v>7.0</v>
      </c>
      <c r="B11" s="40" t="str">
        <f t="shared" ref="B11:B15" si="3">PROPER(D11)&amp;" Canada | Call Now"</f>
        <v>Hazardous Waste Cleanup Canada | Call Now</v>
      </c>
      <c r="C11" s="41" t="str">
        <f t="shared" ref="C11:C15" si="4">"/"&amp;SUBSTITUTE(LOWER(TRIM(D11))," ","-")</f>
        <v>/hazardous-waste-cleanup</v>
      </c>
      <c r="D11" s="42" t="s">
        <v>83</v>
      </c>
      <c r="E11" s="43" t="s">
        <v>168</v>
      </c>
      <c r="F11" s="44" t="s">
        <v>165</v>
      </c>
      <c r="G11" s="45"/>
      <c r="H11" s="43" t="s">
        <v>59</v>
      </c>
      <c r="I11" s="46">
        <v>40.0</v>
      </c>
      <c r="J11" s="47"/>
      <c r="K11" s="48"/>
      <c r="L11" s="45"/>
      <c r="M11" s="49" t="s">
        <v>184</v>
      </c>
    </row>
    <row r="12" ht="48.75" customHeight="1">
      <c r="A12" s="50">
        <v>8.0</v>
      </c>
      <c r="B12" s="51" t="str">
        <f t="shared" si="3"/>
        <v>Industrial Spill Cleanup Canada | Call Now</v>
      </c>
      <c r="C12" s="52" t="str">
        <f t="shared" si="4"/>
        <v>/industrial-spill-cleanup</v>
      </c>
      <c r="D12" s="53" t="s">
        <v>163</v>
      </c>
      <c r="E12" s="54" t="s">
        <v>161</v>
      </c>
      <c r="F12" s="44" t="s">
        <v>165</v>
      </c>
      <c r="G12" s="55"/>
      <c r="H12" s="54"/>
      <c r="I12" s="56"/>
      <c r="J12" s="57"/>
      <c r="K12" s="58"/>
      <c r="L12" s="55"/>
      <c r="M12" s="59" t="s">
        <v>184</v>
      </c>
    </row>
    <row r="13" ht="36.75" customHeight="1">
      <c r="A13" s="36">
        <v>9.0</v>
      </c>
      <c r="B13" s="40" t="str">
        <f t="shared" si="3"/>
        <v>Industrial Chemical Spill Cleanup Canada | Call Now</v>
      </c>
      <c r="C13" s="41" t="str">
        <f t="shared" si="4"/>
        <v>/industrial-chemical-spill-cleanup</v>
      </c>
      <c r="D13" s="42" t="s">
        <v>211</v>
      </c>
      <c r="E13" s="43"/>
      <c r="F13" s="44" t="s">
        <v>165</v>
      </c>
      <c r="G13" s="45"/>
      <c r="H13" s="43"/>
      <c r="I13" s="46"/>
      <c r="J13" s="47"/>
      <c r="K13" s="48"/>
      <c r="L13" s="45"/>
      <c r="M13" s="49" t="s">
        <v>184</v>
      </c>
    </row>
    <row r="14" ht="48.75" customHeight="1">
      <c r="A14" s="50">
        <v>10.0</v>
      </c>
      <c r="B14" s="51" t="str">
        <f t="shared" si="3"/>
        <v>Environmental Spill Response Canada | Call Now</v>
      </c>
      <c r="C14" s="52" t="str">
        <f t="shared" si="4"/>
        <v>/environmental-spill-response</v>
      </c>
      <c r="D14" s="53" t="s">
        <v>115</v>
      </c>
      <c r="E14" s="54" t="s">
        <v>149</v>
      </c>
      <c r="F14" s="44" t="s">
        <v>165</v>
      </c>
      <c r="G14" s="55"/>
      <c r="H14" s="54"/>
      <c r="I14" s="56">
        <v>10.0</v>
      </c>
      <c r="J14" s="57"/>
      <c r="K14" s="58"/>
      <c r="L14" s="55"/>
      <c r="M14" s="59" t="s">
        <v>184</v>
      </c>
    </row>
    <row r="15" ht="48.75" customHeight="1">
      <c r="A15" s="36">
        <v>11.0</v>
      </c>
      <c r="B15" s="40" t="str">
        <f t="shared" si="3"/>
        <v>Fuel Spill Cleanup Canada | Call Now</v>
      </c>
      <c r="C15" s="41" t="str">
        <f t="shared" si="4"/>
        <v>/fuel-spill-cleanup</v>
      </c>
      <c r="D15" s="42" t="s">
        <v>224</v>
      </c>
      <c r="E15" s="43" t="s">
        <v>242</v>
      </c>
      <c r="F15" s="44" t="s">
        <v>165</v>
      </c>
      <c r="G15" s="45"/>
      <c r="H15" s="43"/>
      <c r="I15" s="46"/>
      <c r="J15" s="47"/>
      <c r="K15" s="48"/>
      <c r="L15" s="45"/>
      <c r="M15" s="49" t="s">
        <v>184</v>
      </c>
    </row>
    <row r="16" ht="27.0" customHeight="1">
      <c r="A16" s="28" t="s">
        <v>258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6"/>
    </row>
    <row r="17" ht="36.75" customHeight="1">
      <c r="A17" s="50">
        <v>12.0</v>
      </c>
      <c r="B17" s="51" t="str">
        <f t="shared" ref="B17:B20" si="5">PROPER(D17)&amp;" Canada | Call Now"</f>
        <v>Gasoline Spill Cleanup Canada | Call Now</v>
      </c>
      <c r="C17" s="52" t="str">
        <f t="shared" ref="C17:C20" si="6">"/"&amp;SUBSTITUTE(LOWER(TRIM(D17))," ","-")</f>
        <v>/gasoline-spill-cleanup</v>
      </c>
      <c r="D17" s="53" t="s">
        <v>188</v>
      </c>
      <c r="E17" s="54"/>
      <c r="F17" s="60" t="s">
        <v>165</v>
      </c>
      <c r="G17" s="55"/>
      <c r="H17" s="54" t="s">
        <v>59</v>
      </c>
      <c r="I17" s="56">
        <v>10.0</v>
      </c>
      <c r="J17" s="57"/>
      <c r="K17" s="58">
        <v>1.4</v>
      </c>
      <c r="L17" s="55"/>
      <c r="M17" s="59" t="s">
        <v>184</v>
      </c>
    </row>
    <row r="18" ht="36.75" customHeight="1">
      <c r="A18" s="36">
        <v>13.0</v>
      </c>
      <c r="B18" s="40" t="str">
        <f t="shared" si="5"/>
        <v>Diesel Spill Cleanup Canada | Call Now</v>
      </c>
      <c r="C18" s="41" t="str">
        <f t="shared" si="6"/>
        <v>/diesel-spill-cleanup</v>
      </c>
      <c r="D18" s="42" t="s">
        <v>237</v>
      </c>
      <c r="E18" s="43"/>
      <c r="F18" s="60" t="s">
        <v>165</v>
      </c>
      <c r="G18" s="45"/>
      <c r="H18" s="43" t="s">
        <v>241</v>
      </c>
      <c r="I18" s="46"/>
      <c r="J18" s="47"/>
      <c r="K18" s="48">
        <v>0.9</v>
      </c>
      <c r="L18" s="45"/>
      <c r="M18" s="49" t="s">
        <v>184</v>
      </c>
    </row>
    <row r="19" ht="36.75" customHeight="1">
      <c r="A19" s="50">
        <v>14.0</v>
      </c>
      <c r="B19" s="51" t="str">
        <f t="shared" si="5"/>
        <v>Hydraulic Oil Spill Cleanup Canada | Call Now</v>
      </c>
      <c r="C19" s="52" t="str">
        <f t="shared" si="6"/>
        <v>/hydraulic-oil-spill-cleanup</v>
      </c>
      <c r="D19" s="53" t="s">
        <v>205</v>
      </c>
      <c r="E19" s="54"/>
      <c r="F19" s="60" t="s">
        <v>165</v>
      </c>
      <c r="G19" s="55"/>
      <c r="H19" s="54"/>
      <c r="I19" s="56"/>
      <c r="J19" s="57"/>
      <c r="K19" s="58"/>
      <c r="L19" s="55"/>
      <c r="M19" s="59" t="s">
        <v>184</v>
      </c>
    </row>
    <row r="20" ht="36.75" customHeight="1">
      <c r="A20" s="36">
        <v>15.0</v>
      </c>
      <c r="B20" s="40" t="str">
        <f t="shared" si="5"/>
        <v>Mercury Spill Cleanup Canada | Call Now</v>
      </c>
      <c r="C20" s="41" t="str">
        <f t="shared" si="6"/>
        <v>/mercury-spill-cleanup</v>
      </c>
      <c r="D20" s="42" t="s">
        <v>228</v>
      </c>
      <c r="E20" s="43"/>
      <c r="F20" s="60" t="s">
        <v>165</v>
      </c>
      <c r="G20" s="45"/>
      <c r="H20" s="43" t="s">
        <v>59</v>
      </c>
      <c r="I20" s="46"/>
      <c r="J20" s="47"/>
      <c r="K20" s="48"/>
      <c r="L20" s="45"/>
      <c r="M20" s="49" t="s">
        <v>184</v>
      </c>
    </row>
    <row r="21" ht="27.0" customHeight="1">
      <c r="A21" s="61" t="s">
        <v>259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6"/>
    </row>
    <row r="22" ht="36.75" customHeight="1">
      <c r="A22" s="50">
        <v>16.0</v>
      </c>
      <c r="B22" s="51" t="str">
        <f t="shared" ref="B22:B36" si="7">PROPER(D22)&amp;" "&amp;F22&amp;" | Call Now"</f>
        <v>Emergency Spill Response Calgary | Call Now</v>
      </c>
      <c r="C22" s="52" t="str">
        <f t="shared" ref="C22:C36" si="8">"/"&amp;SUBSTITUTE(LOWER(TRIM(D22&amp;" "&amp;F22))," ","-")</f>
        <v>/emergency-spill-response-calgary</v>
      </c>
      <c r="D22" s="53" t="s">
        <v>43</v>
      </c>
      <c r="E22" s="54"/>
      <c r="F22" s="62" t="s">
        <v>39</v>
      </c>
      <c r="G22" s="55"/>
      <c r="H22" s="54"/>
      <c r="I22" s="56"/>
      <c r="J22" s="57"/>
      <c r="K22" s="58"/>
      <c r="L22" s="55"/>
      <c r="M22" s="59" t="s">
        <v>184</v>
      </c>
    </row>
    <row r="23" ht="36.75" customHeight="1">
      <c r="A23" s="36">
        <v>17.0</v>
      </c>
      <c r="B23" s="40" t="str">
        <f t="shared" si="7"/>
        <v>Chemical Spill Cleanup Calgary | Call Now</v>
      </c>
      <c r="C23" s="41" t="str">
        <f t="shared" si="8"/>
        <v>/chemical-spill-cleanup-calgary</v>
      </c>
      <c r="D23" s="42" t="s">
        <v>92</v>
      </c>
      <c r="E23" s="43"/>
      <c r="F23" s="62" t="s">
        <v>39</v>
      </c>
      <c r="G23" s="45"/>
      <c r="H23" s="43"/>
      <c r="I23" s="46"/>
      <c r="J23" s="47"/>
      <c r="K23" s="48"/>
      <c r="L23" s="45"/>
      <c r="M23" s="49" t="s">
        <v>184</v>
      </c>
    </row>
    <row r="24" ht="36.75" customHeight="1">
      <c r="A24" s="50">
        <v>18.0</v>
      </c>
      <c r="B24" s="51" t="str">
        <f t="shared" si="7"/>
        <v>Oil Spill Cleanup Calgary | Call Now</v>
      </c>
      <c r="C24" s="52" t="str">
        <f t="shared" si="8"/>
        <v>/oil-spill-cleanup-calgary</v>
      </c>
      <c r="D24" s="53" t="s">
        <v>186</v>
      </c>
      <c r="E24" s="54"/>
      <c r="F24" s="62" t="s">
        <v>39</v>
      </c>
      <c r="G24" s="55"/>
      <c r="H24" s="54"/>
      <c r="I24" s="56"/>
      <c r="J24" s="57"/>
      <c r="K24" s="58"/>
      <c r="L24" s="55"/>
      <c r="M24" s="59" t="s">
        <v>184</v>
      </c>
    </row>
    <row r="25" ht="36.75" customHeight="1">
      <c r="A25" s="36">
        <v>19.0</v>
      </c>
      <c r="B25" s="40" t="str">
        <f t="shared" si="7"/>
        <v>Hazmat Cleanup Calgary | Call Now</v>
      </c>
      <c r="C25" s="41" t="str">
        <f t="shared" si="8"/>
        <v>/hazmat-cleanup-calgary</v>
      </c>
      <c r="D25" s="42" t="s">
        <v>76</v>
      </c>
      <c r="E25" s="43"/>
      <c r="F25" s="62" t="s">
        <v>39</v>
      </c>
      <c r="G25" s="45"/>
      <c r="H25" s="43"/>
      <c r="I25" s="46"/>
      <c r="J25" s="47"/>
      <c r="K25" s="48"/>
      <c r="L25" s="45"/>
      <c r="M25" s="49" t="s">
        <v>184</v>
      </c>
    </row>
    <row r="26" ht="36.75" customHeight="1">
      <c r="A26" s="50">
        <v>20.0</v>
      </c>
      <c r="B26" s="51" t="str">
        <f t="shared" si="7"/>
        <v>Soil Remediation Services Calgary | Call Now</v>
      </c>
      <c r="C26" s="52" t="str">
        <f t="shared" si="8"/>
        <v>/soil-remediation-services-calgary</v>
      </c>
      <c r="D26" s="53" t="s">
        <v>178</v>
      </c>
      <c r="E26" s="54"/>
      <c r="F26" s="62" t="s">
        <v>39</v>
      </c>
      <c r="G26" s="55"/>
      <c r="H26" s="54"/>
      <c r="I26" s="56"/>
      <c r="J26" s="57"/>
      <c r="K26" s="58"/>
      <c r="L26" s="55"/>
      <c r="M26" s="59" t="s">
        <v>184</v>
      </c>
    </row>
    <row r="27" ht="36.75" customHeight="1">
      <c r="A27" s="36">
        <v>21.0</v>
      </c>
      <c r="B27" s="40" t="str">
        <f t="shared" si="7"/>
        <v>Contaminated Soil Removal Calgary | Call Now</v>
      </c>
      <c r="C27" s="41" t="str">
        <f t="shared" si="8"/>
        <v>/contaminated-soil-removal-calgary</v>
      </c>
      <c r="D27" s="42" t="s">
        <v>181</v>
      </c>
      <c r="E27" s="43"/>
      <c r="F27" s="62" t="s">
        <v>39</v>
      </c>
      <c r="G27" s="45"/>
      <c r="H27" s="43"/>
      <c r="I27" s="46"/>
      <c r="J27" s="47"/>
      <c r="K27" s="48"/>
      <c r="L27" s="45"/>
      <c r="M27" s="49" t="s">
        <v>184</v>
      </c>
    </row>
    <row r="28" ht="36.75" customHeight="1">
      <c r="A28" s="50">
        <v>22.0</v>
      </c>
      <c r="B28" s="51" t="str">
        <f t="shared" si="7"/>
        <v>Hazardous Waste Cleanup Calgary | Call Now</v>
      </c>
      <c r="C28" s="52" t="str">
        <f t="shared" si="8"/>
        <v>/hazardous-waste-cleanup-calgary</v>
      </c>
      <c r="D28" s="53" t="s">
        <v>83</v>
      </c>
      <c r="E28" s="54"/>
      <c r="F28" s="62" t="s">
        <v>39</v>
      </c>
      <c r="G28" s="55"/>
      <c r="H28" s="54"/>
      <c r="I28" s="56"/>
      <c r="J28" s="57"/>
      <c r="K28" s="58"/>
      <c r="L28" s="55"/>
      <c r="M28" s="59" t="s">
        <v>184</v>
      </c>
    </row>
    <row r="29" ht="36.75" customHeight="1">
      <c r="A29" s="36">
        <v>23.0</v>
      </c>
      <c r="B29" s="40" t="str">
        <f t="shared" si="7"/>
        <v>Industrial Spill Cleanup Calgary | Call Now</v>
      </c>
      <c r="C29" s="41" t="str">
        <f t="shared" si="8"/>
        <v>/industrial-spill-cleanup-calgary</v>
      </c>
      <c r="D29" s="42" t="s">
        <v>163</v>
      </c>
      <c r="E29" s="43"/>
      <c r="F29" s="62" t="s">
        <v>39</v>
      </c>
      <c r="G29" s="45"/>
      <c r="H29" s="43"/>
      <c r="I29" s="46"/>
      <c r="J29" s="47"/>
      <c r="K29" s="48"/>
      <c r="L29" s="45"/>
      <c r="M29" s="49" t="s">
        <v>184</v>
      </c>
    </row>
    <row r="30" ht="36.75" customHeight="1">
      <c r="A30" s="50">
        <v>24.0</v>
      </c>
      <c r="B30" s="51" t="str">
        <f t="shared" si="7"/>
        <v>Industrial Chemical Spill Cleanup Calgary | Call Now</v>
      </c>
      <c r="C30" s="52" t="str">
        <f t="shared" si="8"/>
        <v>/industrial-chemical-spill-cleanup-calgary</v>
      </c>
      <c r="D30" s="53" t="s">
        <v>211</v>
      </c>
      <c r="E30" s="54"/>
      <c r="F30" s="62" t="s">
        <v>39</v>
      </c>
      <c r="G30" s="55"/>
      <c r="H30" s="54"/>
      <c r="I30" s="56"/>
      <c r="J30" s="57"/>
      <c r="K30" s="58"/>
      <c r="L30" s="55"/>
      <c r="M30" s="59" t="s">
        <v>184</v>
      </c>
    </row>
    <row r="31" ht="36.75" customHeight="1">
      <c r="A31" s="36">
        <v>25.0</v>
      </c>
      <c r="B31" s="40" t="str">
        <f t="shared" si="7"/>
        <v>Environmental Spill Response Calgary | Call Now</v>
      </c>
      <c r="C31" s="41" t="str">
        <f t="shared" si="8"/>
        <v>/environmental-spill-response-calgary</v>
      </c>
      <c r="D31" s="42" t="s">
        <v>115</v>
      </c>
      <c r="E31" s="43"/>
      <c r="F31" s="62" t="s">
        <v>39</v>
      </c>
      <c r="G31" s="45"/>
      <c r="H31" s="43"/>
      <c r="I31" s="46"/>
      <c r="J31" s="47"/>
      <c r="K31" s="48"/>
      <c r="L31" s="45"/>
      <c r="M31" s="49" t="s">
        <v>184</v>
      </c>
    </row>
    <row r="32" ht="36.75" customHeight="1">
      <c r="A32" s="50">
        <v>26.0</v>
      </c>
      <c r="B32" s="51" t="str">
        <f t="shared" si="7"/>
        <v>Fuel Spill Cleanup Calgary | Call Now</v>
      </c>
      <c r="C32" s="52" t="str">
        <f t="shared" si="8"/>
        <v>/fuel-spill-cleanup-calgary</v>
      </c>
      <c r="D32" s="53" t="s">
        <v>224</v>
      </c>
      <c r="E32" s="54"/>
      <c r="F32" s="62" t="s">
        <v>39</v>
      </c>
      <c r="G32" s="55"/>
      <c r="H32" s="54"/>
      <c r="I32" s="56"/>
      <c r="J32" s="57"/>
      <c r="K32" s="58"/>
      <c r="L32" s="55"/>
      <c r="M32" s="59" t="s">
        <v>184</v>
      </c>
    </row>
    <row r="33" ht="36.75" customHeight="1">
      <c r="A33" s="36">
        <v>27.0</v>
      </c>
      <c r="B33" s="40" t="str">
        <f t="shared" si="7"/>
        <v>Gasoline Spill Cleanup Calgary | Call Now</v>
      </c>
      <c r="C33" s="41" t="str">
        <f t="shared" si="8"/>
        <v>/gasoline-spill-cleanup-calgary</v>
      </c>
      <c r="D33" s="42" t="s">
        <v>188</v>
      </c>
      <c r="E33" s="43"/>
      <c r="F33" s="64" t="s">
        <v>39</v>
      </c>
      <c r="G33" s="45"/>
      <c r="H33" s="43"/>
      <c r="I33" s="46"/>
      <c r="J33" s="47"/>
      <c r="K33" s="48"/>
      <c r="L33" s="45"/>
      <c r="M33" s="49" t="s">
        <v>184</v>
      </c>
    </row>
    <row r="34" ht="36.75" customHeight="1">
      <c r="A34" s="50">
        <v>28.0</v>
      </c>
      <c r="B34" s="51" t="str">
        <f t="shared" si="7"/>
        <v>Diesel Spill Cleanup Calgary | Call Now</v>
      </c>
      <c r="C34" s="52" t="str">
        <f t="shared" si="8"/>
        <v>/diesel-spill-cleanup-calgary</v>
      </c>
      <c r="D34" s="53" t="s">
        <v>237</v>
      </c>
      <c r="E34" s="54"/>
      <c r="F34" s="64" t="s">
        <v>39</v>
      </c>
      <c r="G34" s="55"/>
      <c r="H34" s="54"/>
      <c r="I34" s="56"/>
      <c r="J34" s="57"/>
      <c r="K34" s="58"/>
      <c r="L34" s="55"/>
      <c r="M34" s="59" t="s">
        <v>184</v>
      </c>
    </row>
    <row r="35" ht="36.75" customHeight="1">
      <c r="A35" s="36">
        <v>29.0</v>
      </c>
      <c r="B35" s="40" t="str">
        <f t="shared" si="7"/>
        <v>Hydraulic Oil Spill Cleanup Calgary | Call Now</v>
      </c>
      <c r="C35" s="41" t="str">
        <f t="shared" si="8"/>
        <v>/hydraulic-oil-spill-cleanup-calgary</v>
      </c>
      <c r="D35" s="42" t="s">
        <v>205</v>
      </c>
      <c r="E35" s="43"/>
      <c r="F35" s="64" t="s">
        <v>39</v>
      </c>
      <c r="G35" s="45"/>
      <c r="H35" s="43"/>
      <c r="I35" s="46"/>
      <c r="J35" s="47"/>
      <c r="K35" s="48"/>
      <c r="L35" s="45"/>
      <c r="M35" s="49" t="s">
        <v>184</v>
      </c>
    </row>
    <row r="36" ht="36.75" customHeight="1">
      <c r="A36" s="50">
        <v>30.0</v>
      </c>
      <c r="B36" s="51" t="str">
        <f t="shared" si="7"/>
        <v>Mercury Spill Cleanup Calgary | Call Now</v>
      </c>
      <c r="C36" s="52" t="str">
        <f t="shared" si="8"/>
        <v>/mercury-spill-cleanup-calgary</v>
      </c>
      <c r="D36" s="53" t="s">
        <v>228</v>
      </c>
      <c r="E36" s="54"/>
      <c r="F36" s="64" t="s">
        <v>39</v>
      </c>
      <c r="G36" s="55"/>
      <c r="H36" s="54"/>
      <c r="I36" s="56"/>
      <c r="J36" s="57"/>
      <c r="K36" s="58"/>
      <c r="L36" s="55"/>
      <c r="M36" s="59" t="s">
        <v>184</v>
      </c>
    </row>
    <row r="37" ht="27.0" customHeight="1">
      <c r="A37" s="61" t="s">
        <v>271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6"/>
    </row>
    <row r="38" ht="36.75" customHeight="1">
      <c r="A38" s="36">
        <v>31.0</v>
      </c>
      <c r="B38" s="40" t="str">
        <f t="shared" ref="B38:B52" si="9">PROPER(D38)&amp;" "&amp;F38&amp;" | Call Now"</f>
        <v>Emergency Spill Response Winnipeg | Call Now</v>
      </c>
      <c r="C38" s="41" t="str">
        <f t="shared" ref="C38:C52" si="10">"/"&amp;SUBSTITUTE(LOWER(TRIM(D38&amp;" "&amp;F38))," ","-")</f>
        <v>/emergency-spill-response-winnipeg</v>
      </c>
      <c r="D38" s="42" t="s">
        <v>43</v>
      </c>
      <c r="E38" s="43"/>
      <c r="F38" s="62" t="s">
        <v>51</v>
      </c>
      <c r="G38" s="45"/>
      <c r="H38" s="43"/>
      <c r="I38" s="46"/>
      <c r="J38" s="47"/>
      <c r="K38" s="48"/>
      <c r="L38" s="45"/>
      <c r="M38" s="49" t="s">
        <v>184</v>
      </c>
    </row>
    <row r="39" ht="36.75" customHeight="1">
      <c r="A39" s="50">
        <v>32.0</v>
      </c>
      <c r="B39" s="51" t="str">
        <f t="shared" si="9"/>
        <v>Chemical Spill Cleanup Winnipeg | Call Now</v>
      </c>
      <c r="C39" s="52" t="str">
        <f t="shared" si="10"/>
        <v>/chemical-spill-cleanup-winnipeg</v>
      </c>
      <c r="D39" s="53" t="s">
        <v>92</v>
      </c>
      <c r="E39" s="54"/>
      <c r="F39" s="62" t="s">
        <v>51</v>
      </c>
      <c r="G39" s="55"/>
      <c r="H39" s="54"/>
      <c r="I39" s="56"/>
      <c r="J39" s="57"/>
      <c r="K39" s="58"/>
      <c r="L39" s="55"/>
      <c r="M39" s="59" t="s">
        <v>184</v>
      </c>
    </row>
    <row r="40" ht="36.75" customHeight="1">
      <c r="A40" s="36">
        <v>33.0</v>
      </c>
      <c r="B40" s="40" t="str">
        <f t="shared" si="9"/>
        <v>Oil Spill Cleanup Winnipeg | Call Now</v>
      </c>
      <c r="C40" s="41" t="str">
        <f t="shared" si="10"/>
        <v>/oil-spill-cleanup-winnipeg</v>
      </c>
      <c r="D40" s="42" t="s">
        <v>186</v>
      </c>
      <c r="E40" s="43"/>
      <c r="F40" s="62" t="s">
        <v>51</v>
      </c>
      <c r="G40" s="45"/>
      <c r="H40" s="43"/>
      <c r="I40" s="46"/>
      <c r="J40" s="47"/>
      <c r="K40" s="48"/>
      <c r="L40" s="45"/>
      <c r="M40" s="49" t="s">
        <v>184</v>
      </c>
    </row>
    <row r="41" ht="36.75" customHeight="1">
      <c r="A41" s="50">
        <v>34.0</v>
      </c>
      <c r="B41" s="51" t="str">
        <f t="shared" si="9"/>
        <v>Hazmat Cleanup Winnipeg | Call Now</v>
      </c>
      <c r="C41" s="52" t="str">
        <f t="shared" si="10"/>
        <v>/hazmat-cleanup-winnipeg</v>
      </c>
      <c r="D41" s="53" t="s">
        <v>76</v>
      </c>
      <c r="E41" s="54"/>
      <c r="F41" s="62" t="s">
        <v>51</v>
      </c>
      <c r="G41" s="55"/>
      <c r="H41" s="54"/>
      <c r="I41" s="56"/>
      <c r="J41" s="57"/>
      <c r="K41" s="58"/>
      <c r="L41" s="55"/>
      <c r="M41" s="59" t="s">
        <v>184</v>
      </c>
    </row>
    <row r="42" ht="36.75" customHeight="1">
      <c r="A42" s="36">
        <v>35.0</v>
      </c>
      <c r="B42" s="40" t="str">
        <f t="shared" si="9"/>
        <v>Soil Remediation Services Winnipeg | Call Now</v>
      </c>
      <c r="C42" s="41" t="str">
        <f t="shared" si="10"/>
        <v>/soil-remediation-services-winnipeg</v>
      </c>
      <c r="D42" s="42" t="s">
        <v>178</v>
      </c>
      <c r="E42" s="43"/>
      <c r="F42" s="62" t="s">
        <v>51</v>
      </c>
      <c r="G42" s="45"/>
      <c r="H42" s="43"/>
      <c r="I42" s="46"/>
      <c r="J42" s="47"/>
      <c r="K42" s="48"/>
      <c r="L42" s="45"/>
      <c r="M42" s="49" t="s">
        <v>184</v>
      </c>
    </row>
    <row r="43" ht="36.75" customHeight="1">
      <c r="A43" s="50">
        <v>36.0</v>
      </c>
      <c r="B43" s="51" t="str">
        <f t="shared" si="9"/>
        <v>Contaminated Soil Removal Winnipeg | Call Now</v>
      </c>
      <c r="C43" s="52" t="str">
        <f t="shared" si="10"/>
        <v>/contaminated-soil-removal-winnipeg</v>
      </c>
      <c r="D43" s="53" t="s">
        <v>181</v>
      </c>
      <c r="E43" s="54"/>
      <c r="F43" s="62" t="s">
        <v>51</v>
      </c>
      <c r="G43" s="55"/>
      <c r="H43" s="54"/>
      <c r="I43" s="56"/>
      <c r="J43" s="57"/>
      <c r="K43" s="58"/>
      <c r="L43" s="55"/>
      <c r="M43" s="59" t="s">
        <v>184</v>
      </c>
    </row>
    <row r="44" ht="36.75" customHeight="1">
      <c r="A44" s="36">
        <v>37.0</v>
      </c>
      <c r="B44" s="40" t="str">
        <f t="shared" si="9"/>
        <v>Hazardous Waste Cleanup Winnipeg | Call Now</v>
      </c>
      <c r="C44" s="41" t="str">
        <f t="shared" si="10"/>
        <v>/hazardous-waste-cleanup-winnipeg</v>
      </c>
      <c r="D44" s="42" t="s">
        <v>83</v>
      </c>
      <c r="E44" s="43"/>
      <c r="F44" s="62" t="s">
        <v>51</v>
      </c>
      <c r="G44" s="45"/>
      <c r="H44" s="43"/>
      <c r="I44" s="46"/>
      <c r="J44" s="47"/>
      <c r="K44" s="48"/>
      <c r="L44" s="45"/>
      <c r="M44" s="49" t="s">
        <v>184</v>
      </c>
    </row>
    <row r="45" ht="36.75" customHeight="1">
      <c r="A45" s="50">
        <v>38.0</v>
      </c>
      <c r="B45" s="51" t="str">
        <f t="shared" si="9"/>
        <v>Industrial Spill Cleanup Winnipeg | Call Now</v>
      </c>
      <c r="C45" s="52" t="str">
        <f t="shared" si="10"/>
        <v>/industrial-spill-cleanup-winnipeg</v>
      </c>
      <c r="D45" s="53" t="s">
        <v>163</v>
      </c>
      <c r="E45" s="54"/>
      <c r="F45" s="62" t="s">
        <v>51</v>
      </c>
      <c r="G45" s="55"/>
      <c r="H45" s="54"/>
      <c r="I45" s="56"/>
      <c r="J45" s="57"/>
      <c r="K45" s="58"/>
      <c r="L45" s="55"/>
      <c r="M45" s="59" t="s">
        <v>184</v>
      </c>
    </row>
    <row r="46" ht="36.75" customHeight="1">
      <c r="A46" s="36">
        <v>39.0</v>
      </c>
      <c r="B46" s="40" t="str">
        <f t="shared" si="9"/>
        <v>Industrial Chemical Spill Cleanup Winnipeg | Call Now</v>
      </c>
      <c r="C46" s="41" t="str">
        <f t="shared" si="10"/>
        <v>/industrial-chemical-spill-cleanup-winnipeg</v>
      </c>
      <c r="D46" s="42" t="s">
        <v>211</v>
      </c>
      <c r="E46" s="43"/>
      <c r="F46" s="62" t="s">
        <v>51</v>
      </c>
      <c r="G46" s="45"/>
      <c r="H46" s="43"/>
      <c r="I46" s="46"/>
      <c r="J46" s="47"/>
      <c r="K46" s="48"/>
      <c r="L46" s="45"/>
      <c r="M46" s="49" t="s">
        <v>184</v>
      </c>
    </row>
    <row r="47" ht="36.75" customHeight="1">
      <c r="A47" s="50">
        <v>40.0</v>
      </c>
      <c r="B47" s="51" t="str">
        <f t="shared" si="9"/>
        <v>Environmental Spill Response Winnipeg | Call Now</v>
      </c>
      <c r="C47" s="52" t="str">
        <f t="shared" si="10"/>
        <v>/environmental-spill-response-winnipeg</v>
      </c>
      <c r="D47" s="53" t="s">
        <v>115</v>
      </c>
      <c r="E47" s="54"/>
      <c r="F47" s="62" t="s">
        <v>51</v>
      </c>
      <c r="G47" s="55"/>
      <c r="H47" s="54"/>
      <c r="I47" s="56"/>
      <c r="J47" s="57"/>
      <c r="K47" s="58"/>
      <c r="L47" s="55"/>
      <c r="M47" s="59" t="s">
        <v>184</v>
      </c>
    </row>
    <row r="48" ht="36.75" customHeight="1">
      <c r="A48" s="36">
        <v>41.0</v>
      </c>
      <c r="B48" s="40" t="str">
        <f t="shared" si="9"/>
        <v>Fuel Spill Cleanup Winnipeg | Call Now</v>
      </c>
      <c r="C48" s="41" t="str">
        <f t="shared" si="10"/>
        <v>/fuel-spill-cleanup-winnipeg</v>
      </c>
      <c r="D48" s="42" t="s">
        <v>224</v>
      </c>
      <c r="E48" s="43"/>
      <c r="F48" s="62" t="s">
        <v>51</v>
      </c>
      <c r="G48" s="45"/>
      <c r="H48" s="43"/>
      <c r="I48" s="46"/>
      <c r="J48" s="47"/>
      <c r="K48" s="48"/>
      <c r="L48" s="45"/>
      <c r="M48" s="49" t="s">
        <v>184</v>
      </c>
    </row>
    <row r="49" ht="36.75" customHeight="1">
      <c r="A49" s="50">
        <v>42.0</v>
      </c>
      <c r="B49" s="51" t="str">
        <f t="shared" si="9"/>
        <v>Gasoline Spill Cleanup Winnipeg | Call Now</v>
      </c>
      <c r="C49" s="52" t="str">
        <f t="shared" si="10"/>
        <v>/gasoline-spill-cleanup-winnipeg</v>
      </c>
      <c r="D49" s="53" t="s">
        <v>188</v>
      </c>
      <c r="E49" s="54"/>
      <c r="F49" s="64" t="s">
        <v>51</v>
      </c>
      <c r="G49" s="55"/>
      <c r="H49" s="54"/>
      <c r="I49" s="56"/>
      <c r="J49" s="57"/>
      <c r="K49" s="58"/>
      <c r="L49" s="55"/>
      <c r="M49" s="59" t="s">
        <v>184</v>
      </c>
    </row>
    <row r="50" ht="36.75" customHeight="1">
      <c r="A50" s="36">
        <v>43.0</v>
      </c>
      <c r="B50" s="40" t="str">
        <f t="shared" si="9"/>
        <v>Diesel Spill Cleanup Winnipeg | Call Now</v>
      </c>
      <c r="C50" s="41" t="str">
        <f t="shared" si="10"/>
        <v>/diesel-spill-cleanup-winnipeg</v>
      </c>
      <c r="D50" s="42" t="s">
        <v>237</v>
      </c>
      <c r="E50" s="43"/>
      <c r="F50" s="64" t="s">
        <v>51</v>
      </c>
      <c r="G50" s="45"/>
      <c r="H50" s="43"/>
      <c r="I50" s="46"/>
      <c r="J50" s="47"/>
      <c r="K50" s="48"/>
      <c r="L50" s="45"/>
      <c r="M50" s="49" t="s">
        <v>184</v>
      </c>
    </row>
    <row r="51" ht="36.75" customHeight="1">
      <c r="A51" s="50">
        <v>44.0</v>
      </c>
      <c r="B51" s="51" t="str">
        <f t="shared" si="9"/>
        <v>Hydraulic Oil Spill Cleanup Winnipeg | Call Now</v>
      </c>
      <c r="C51" s="52" t="str">
        <f t="shared" si="10"/>
        <v>/hydraulic-oil-spill-cleanup-winnipeg</v>
      </c>
      <c r="D51" s="53" t="s">
        <v>205</v>
      </c>
      <c r="E51" s="54"/>
      <c r="F51" s="64" t="s">
        <v>51</v>
      </c>
      <c r="G51" s="55"/>
      <c r="H51" s="54"/>
      <c r="I51" s="56"/>
      <c r="J51" s="57"/>
      <c r="K51" s="58"/>
      <c r="L51" s="55"/>
      <c r="M51" s="59" t="s">
        <v>184</v>
      </c>
    </row>
    <row r="52" ht="36.75" customHeight="1">
      <c r="A52" s="36">
        <v>45.0</v>
      </c>
      <c r="B52" s="40" t="str">
        <f t="shared" si="9"/>
        <v>Mercury Spill Cleanup Winnipeg | Call Now</v>
      </c>
      <c r="C52" s="41" t="str">
        <f t="shared" si="10"/>
        <v>/mercury-spill-cleanup-winnipeg</v>
      </c>
      <c r="D52" s="42" t="s">
        <v>228</v>
      </c>
      <c r="E52" s="43"/>
      <c r="F52" s="64" t="s">
        <v>51</v>
      </c>
      <c r="G52" s="45"/>
      <c r="H52" s="43"/>
      <c r="I52" s="46"/>
      <c r="J52" s="47"/>
      <c r="K52" s="48"/>
      <c r="L52" s="45"/>
      <c r="M52" s="49" t="s">
        <v>184</v>
      </c>
    </row>
    <row r="53" ht="27.0" customHeight="1">
      <c r="A53" s="61" t="s">
        <v>312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6"/>
    </row>
    <row r="54" ht="36.75" customHeight="1">
      <c r="A54" s="50">
        <v>46.0</v>
      </c>
      <c r="B54" s="51" t="str">
        <f t="shared" ref="B54:B68" si="11">PROPER(D54)&amp;" "&amp;F54&amp;" | Call Now"</f>
        <v>Emergency Spill Response Edmonton | Call Now</v>
      </c>
      <c r="C54" s="52" t="str">
        <f t="shared" ref="C54:C68" si="12">"/"&amp;SUBSTITUTE(LOWER(TRIM(D54&amp;" "&amp;F54))," ","-")</f>
        <v>/emergency-spill-response-edmonton</v>
      </c>
      <c r="D54" s="53" t="s">
        <v>43</v>
      </c>
      <c r="E54" s="54"/>
      <c r="F54" s="62" t="s">
        <v>55</v>
      </c>
      <c r="G54" s="55"/>
      <c r="H54" s="54"/>
      <c r="I54" s="56"/>
      <c r="J54" s="57"/>
      <c r="K54" s="58"/>
      <c r="L54" s="55"/>
      <c r="M54" s="59" t="s">
        <v>184</v>
      </c>
    </row>
    <row r="55" ht="36.75" customHeight="1">
      <c r="A55" s="36">
        <v>47.0</v>
      </c>
      <c r="B55" s="40" t="str">
        <f t="shared" si="11"/>
        <v>Chemical Spill Cleanup Edmonton | Call Now</v>
      </c>
      <c r="C55" s="41" t="str">
        <f t="shared" si="12"/>
        <v>/chemical-spill-cleanup-edmonton</v>
      </c>
      <c r="D55" s="42" t="s">
        <v>92</v>
      </c>
      <c r="E55" s="43"/>
      <c r="F55" s="62" t="s">
        <v>55</v>
      </c>
      <c r="G55" s="45"/>
      <c r="H55" s="43"/>
      <c r="I55" s="46"/>
      <c r="J55" s="47"/>
      <c r="K55" s="48"/>
      <c r="L55" s="45"/>
      <c r="M55" s="49" t="s">
        <v>184</v>
      </c>
    </row>
    <row r="56" ht="36.75" customHeight="1">
      <c r="A56" s="50">
        <v>48.0</v>
      </c>
      <c r="B56" s="51" t="str">
        <f t="shared" si="11"/>
        <v>Oil Spill Cleanup Edmonton | Call Now</v>
      </c>
      <c r="C56" s="52" t="str">
        <f t="shared" si="12"/>
        <v>/oil-spill-cleanup-edmonton</v>
      </c>
      <c r="D56" s="53" t="s">
        <v>186</v>
      </c>
      <c r="E56" s="54"/>
      <c r="F56" s="62" t="s">
        <v>55</v>
      </c>
      <c r="G56" s="55"/>
      <c r="H56" s="54"/>
      <c r="I56" s="56"/>
      <c r="J56" s="57"/>
      <c r="K56" s="58"/>
      <c r="L56" s="55"/>
      <c r="M56" s="59" t="s">
        <v>184</v>
      </c>
    </row>
    <row r="57" ht="36.75" customHeight="1">
      <c r="A57" s="36">
        <v>49.0</v>
      </c>
      <c r="B57" s="40" t="str">
        <f t="shared" si="11"/>
        <v>Hazmat Cleanup Edmonton | Call Now</v>
      </c>
      <c r="C57" s="41" t="str">
        <f t="shared" si="12"/>
        <v>/hazmat-cleanup-edmonton</v>
      </c>
      <c r="D57" s="42" t="s">
        <v>76</v>
      </c>
      <c r="E57" s="43"/>
      <c r="F57" s="62" t="s">
        <v>55</v>
      </c>
      <c r="G57" s="45"/>
      <c r="H57" s="43"/>
      <c r="I57" s="46"/>
      <c r="J57" s="47"/>
      <c r="K57" s="48"/>
      <c r="L57" s="45"/>
      <c r="M57" s="49" t="s">
        <v>184</v>
      </c>
    </row>
    <row r="58" ht="36.75" customHeight="1">
      <c r="A58" s="50">
        <v>50.0</v>
      </c>
      <c r="B58" s="51" t="str">
        <f t="shared" si="11"/>
        <v>Soil Remediation Services Edmonton | Call Now</v>
      </c>
      <c r="C58" s="52" t="str">
        <f t="shared" si="12"/>
        <v>/soil-remediation-services-edmonton</v>
      </c>
      <c r="D58" s="53" t="s">
        <v>178</v>
      </c>
      <c r="E58" s="54"/>
      <c r="F58" s="62" t="s">
        <v>55</v>
      </c>
      <c r="G58" s="55"/>
      <c r="H58" s="54"/>
      <c r="I58" s="56"/>
      <c r="J58" s="57"/>
      <c r="K58" s="58"/>
      <c r="L58" s="55"/>
      <c r="M58" s="59" t="s">
        <v>184</v>
      </c>
    </row>
    <row r="59" ht="36.75" customHeight="1">
      <c r="A59" s="36">
        <v>51.0</v>
      </c>
      <c r="B59" s="40" t="str">
        <f t="shared" si="11"/>
        <v>Contaminated Soil Removal Edmonton | Call Now</v>
      </c>
      <c r="C59" s="41" t="str">
        <f t="shared" si="12"/>
        <v>/contaminated-soil-removal-edmonton</v>
      </c>
      <c r="D59" s="42" t="s">
        <v>181</v>
      </c>
      <c r="E59" s="43"/>
      <c r="F59" s="62" t="s">
        <v>55</v>
      </c>
      <c r="G59" s="45"/>
      <c r="H59" s="43"/>
      <c r="I59" s="46"/>
      <c r="J59" s="47"/>
      <c r="K59" s="48"/>
      <c r="L59" s="45"/>
      <c r="M59" s="49" t="s">
        <v>184</v>
      </c>
    </row>
    <row r="60" ht="36.75" customHeight="1">
      <c r="A60" s="50">
        <v>52.0</v>
      </c>
      <c r="B60" s="51" t="str">
        <f t="shared" si="11"/>
        <v>Hazardous Waste Cleanup Edmonton | Call Now</v>
      </c>
      <c r="C60" s="52" t="str">
        <f t="shared" si="12"/>
        <v>/hazardous-waste-cleanup-edmonton</v>
      </c>
      <c r="D60" s="53" t="s">
        <v>83</v>
      </c>
      <c r="E60" s="54"/>
      <c r="F60" s="62" t="s">
        <v>55</v>
      </c>
      <c r="G60" s="55"/>
      <c r="H60" s="54"/>
      <c r="I60" s="56"/>
      <c r="J60" s="57"/>
      <c r="K60" s="58"/>
      <c r="L60" s="55"/>
      <c r="M60" s="59" t="s">
        <v>184</v>
      </c>
    </row>
    <row r="61" ht="36.75" customHeight="1">
      <c r="A61" s="36">
        <v>53.0</v>
      </c>
      <c r="B61" s="40" t="str">
        <f t="shared" si="11"/>
        <v>Industrial Spill Cleanup Edmonton | Call Now</v>
      </c>
      <c r="C61" s="41" t="str">
        <f t="shared" si="12"/>
        <v>/industrial-spill-cleanup-edmonton</v>
      </c>
      <c r="D61" s="42" t="s">
        <v>163</v>
      </c>
      <c r="E61" s="43"/>
      <c r="F61" s="62" t="s">
        <v>55</v>
      </c>
      <c r="G61" s="45"/>
      <c r="H61" s="43"/>
      <c r="I61" s="46"/>
      <c r="J61" s="47"/>
      <c r="K61" s="48"/>
      <c r="L61" s="45"/>
      <c r="M61" s="49" t="s">
        <v>184</v>
      </c>
    </row>
    <row r="62" ht="36.75" customHeight="1">
      <c r="A62" s="50">
        <v>54.0</v>
      </c>
      <c r="B62" s="51" t="str">
        <f t="shared" si="11"/>
        <v>Industrial Chemical Spill Cleanup Edmonton | Call Now</v>
      </c>
      <c r="C62" s="52" t="str">
        <f t="shared" si="12"/>
        <v>/industrial-chemical-spill-cleanup-edmonton</v>
      </c>
      <c r="D62" s="53" t="s">
        <v>211</v>
      </c>
      <c r="E62" s="54"/>
      <c r="F62" s="62" t="s">
        <v>55</v>
      </c>
      <c r="G62" s="55"/>
      <c r="H62" s="54"/>
      <c r="I62" s="56"/>
      <c r="J62" s="57"/>
      <c r="K62" s="58"/>
      <c r="L62" s="55"/>
      <c r="M62" s="59" t="s">
        <v>184</v>
      </c>
    </row>
    <row r="63" ht="36.75" customHeight="1">
      <c r="A63" s="36">
        <v>55.0</v>
      </c>
      <c r="B63" s="40" t="str">
        <f t="shared" si="11"/>
        <v>Environmental Spill Response Edmonton | Call Now</v>
      </c>
      <c r="C63" s="41" t="str">
        <f t="shared" si="12"/>
        <v>/environmental-spill-response-edmonton</v>
      </c>
      <c r="D63" s="42" t="s">
        <v>115</v>
      </c>
      <c r="E63" s="43"/>
      <c r="F63" s="62" t="s">
        <v>55</v>
      </c>
      <c r="G63" s="45"/>
      <c r="H63" s="43"/>
      <c r="I63" s="46"/>
      <c r="J63" s="47"/>
      <c r="K63" s="48"/>
      <c r="L63" s="45"/>
      <c r="M63" s="49" t="s">
        <v>184</v>
      </c>
    </row>
    <row r="64" ht="36.75" customHeight="1">
      <c r="A64" s="50">
        <v>56.0</v>
      </c>
      <c r="B64" s="51" t="str">
        <f t="shared" si="11"/>
        <v>Fuel Spill Cleanup Edmonton | Call Now</v>
      </c>
      <c r="C64" s="52" t="str">
        <f t="shared" si="12"/>
        <v>/fuel-spill-cleanup-edmonton</v>
      </c>
      <c r="D64" s="53" t="s">
        <v>224</v>
      </c>
      <c r="E64" s="54"/>
      <c r="F64" s="62" t="s">
        <v>55</v>
      </c>
      <c r="G64" s="55"/>
      <c r="H64" s="54"/>
      <c r="I64" s="56"/>
      <c r="J64" s="57"/>
      <c r="K64" s="58"/>
      <c r="L64" s="55"/>
      <c r="M64" s="59" t="s">
        <v>184</v>
      </c>
    </row>
    <row r="65" ht="36.75" customHeight="1">
      <c r="A65" s="36">
        <v>57.0</v>
      </c>
      <c r="B65" s="40" t="str">
        <f t="shared" si="11"/>
        <v>Gasoline Spill Cleanup Edmonton | Call Now</v>
      </c>
      <c r="C65" s="41" t="str">
        <f t="shared" si="12"/>
        <v>/gasoline-spill-cleanup-edmonton</v>
      </c>
      <c r="D65" s="42" t="s">
        <v>188</v>
      </c>
      <c r="E65" s="43"/>
      <c r="F65" s="64" t="s">
        <v>55</v>
      </c>
      <c r="G65" s="45"/>
      <c r="H65" s="43"/>
      <c r="I65" s="46"/>
      <c r="J65" s="47"/>
      <c r="K65" s="48"/>
      <c r="L65" s="45"/>
      <c r="M65" s="49" t="s">
        <v>184</v>
      </c>
    </row>
    <row r="66" ht="36.75" customHeight="1">
      <c r="A66" s="50">
        <v>58.0</v>
      </c>
      <c r="B66" s="51" t="str">
        <f t="shared" si="11"/>
        <v>Diesel Spill Cleanup Edmonton | Call Now</v>
      </c>
      <c r="C66" s="52" t="str">
        <f t="shared" si="12"/>
        <v>/diesel-spill-cleanup-edmonton</v>
      </c>
      <c r="D66" s="53" t="s">
        <v>237</v>
      </c>
      <c r="E66" s="54"/>
      <c r="F66" s="64" t="s">
        <v>55</v>
      </c>
      <c r="G66" s="55"/>
      <c r="H66" s="54"/>
      <c r="I66" s="56"/>
      <c r="J66" s="57"/>
      <c r="K66" s="58"/>
      <c r="L66" s="55"/>
      <c r="M66" s="59" t="s">
        <v>184</v>
      </c>
    </row>
    <row r="67" ht="36.75" customHeight="1">
      <c r="A67" s="36">
        <v>59.0</v>
      </c>
      <c r="B67" s="40" t="str">
        <f t="shared" si="11"/>
        <v>Hydraulic Oil Spill Cleanup Edmonton | Call Now</v>
      </c>
      <c r="C67" s="41" t="str">
        <f t="shared" si="12"/>
        <v>/hydraulic-oil-spill-cleanup-edmonton</v>
      </c>
      <c r="D67" s="42" t="s">
        <v>205</v>
      </c>
      <c r="E67" s="43"/>
      <c r="F67" s="64" t="s">
        <v>55</v>
      </c>
      <c r="G67" s="45"/>
      <c r="H67" s="43"/>
      <c r="I67" s="46"/>
      <c r="J67" s="47"/>
      <c r="K67" s="48"/>
      <c r="L67" s="45"/>
      <c r="M67" s="49" t="s">
        <v>184</v>
      </c>
    </row>
    <row r="68" ht="36.75" customHeight="1">
      <c r="A68" s="50">
        <v>60.0</v>
      </c>
      <c r="B68" s="51" t="str">
        <f t="shared" si="11"/>
        <v>Mercury Spill Cleanup Edmonton | Call Now</v>
      </c>
      <c r="C68" s="52" t="str">
        <f t="shared" si="12"/>
        <v>/mercury-spill-cleanup-edmonton</v>
      </c>
      <c r="D68" s="53" t="s">
        <v>228</v>
      </c>
      <c r="E68" s="54"/>
      <c r="F68" s="64" t="s">
        <v>55</v>
      </c>
      <c r="G68" s="55"/>
      <c r="H68" s="54"/>
      <c r="I68" s="56"/>
      <c r="J68" s="57"/>
      <c r="K68" s="58"/>
      <c r="L68" s="55"/>
      <c r="M68" s="59" t="s">
        <v>184</v>
      </c>
    </row>
    <row r="69" ht="27.0" customHeight="1">
      <c r="A69" s="61" t="s">
        <v>313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6"/>
    </row>
    <row r="70" ht="36.75" customHeight="1">
      <c r="A70" s="36">
        <v>61.0</v>
      </c>
      <c r="B70" s="40" t="str">
        <f t="shared" ref="B70:B84" si="13">PROPER(D70)&amp;" "&amp;F70&amp;" | Call Now"</f>
        <v>Emergency Spill Response Ottawa | Call Now</v>
      </c>
      <c r="C70" s="41" t="str">
        <f t="shared" ref="C70:C84" si="14">"/"&amp;SUBSTITUTE(LOWER(TRIM(D70&amp;" "&amp;F70))," ","-")</f>
        <v>/emergency-spill-response-ottawa</v>
      </c>
      <c r="D70" s="42" t="s">
        <v>43</v>
      </c>
      <c r="E70" s="43"/>
      <c r="F70" s="62" t="s">
        <v>57</v>
      </c>
      <c r="G70" s="45"/>
      <c r="H70" s="43"/>
      <c r="I70" s="46"/>
      <c r="J70" s="47"/>
      <c r="K70" s="48"/>
      <c r="L70" s="45"/>
      <c r="M70" s="49" t="s">
        <v>184</v>
      </c>
    </row>
    <row r="71" ht="36.75" customHeight="1">
      <c r="A71" s="50">
        <v>62.0</v>
      </c>
      <c r="B71" s="51" t="str">
        <f t="shared" si="13"/>
        <v>Chemical Spill Cleanup Ottawa | Call Now</v>
      </c>
      <c r="C71" s="52" t="str">
        <f t="shared" si="14"/>
        <v>/chemical-spill-cleanup-ottawa</v>
      </c>
      <c r="D71" s="53" t="s">
        <v>92</v>
      </c>
      <c r="E71" s="54"/>
      <c r="F71" s="62" t="s">
        <v>57</v>
      </c>
      <c r="G71" s="55"/>
      <c r="H71" s="54"/>
      <c r="I71" s="56"/>
      <c r="J71" s="57"/>
      <c r="K71" s="58"/>
      <c r="L71" s="55"/>
      <c r="M71" s="59" t="s">
        <v>184</v>
      </c>
    </row>
    <row r="72" ht="36.75" customHeight="1">
      <c r="A72" s="36">
        <v>63.0</v>
      </c>
      <c r="B72" s="40" t="str">
        <f t="shared" si="13"/>
        <v>Oil Spill Cleanup Ottawa | Call Now</v>
      </c>
      <c r="C72" s="41" t="str">
        <f t="shared" si="14"/>
        <v>/oil-spill-cleanup-ottawa</v>
      </c>
      <c r="D72" s="42" t="s">
        <v>186</v>
      </c>
      <c r="E72" s="43"/>
      <c r="F72" s="62" t="s">
        <v>57</v>
      </c>
      <c r="G72" s="45"/>
      <c r="H72" s="43"/>
      <c r="I72" s="46"/>
      <c r="J72" s="47"/>
      <c r="K72" s="48"/>
      <c r="L72" s="45"/>
      <c r="M72" s="49" t="s">
        <v>184</v>
      </c>
    </row>
    <row r="73" ht="36.75" customHeight="1">
      <c r="A73" s="50">
        <v>64.0</v>
      </c>
      <c r="B73" s="51" t="str">
        <f t="shared" si="13"/>
        <v>Hazmat Cleanup Ottawa | Call Now</v>
      </c>
      <c r="C73" s="52" t="str">
        <f t="shared" si="14"/>
        <v>/hazmat-cleanup-ottawa</v>
      </c>
      <c r="D73" s="53" t="s">
        <v>76</v>
      </c>
      <c r="E73" s="54"/>
      <c r="F73" s="62" t="s">
        <v>57</v>
      </c>
      <c r="G73" s="55"/>
      <c r="H73" s="54"/>
      <c r="I73" s="56"/>
      <c r="J73" s="57"/>
      <c r="K73" s="58"/>
      <c r="L73" s="55"/>
      <c r="M73" s="59" t="s">
        <v>184</v>
      </c>
    </row>
    <row r="74" ht="36.75" customHeight="1">
      <c r="A74" s="36">
        <v>65.0</v>
      </c>
      <c r="B74" s="40" t="str">
        <f t="shared" si="13"/>
        <v>Soil Remediation Services Ottawa | Call Now</v>
      </c>
      <c r="C74" s="41" t="str">
        <f t="shared" si="14"/>
        <v>/soil-remediation-services-ottawa</v>
      </c>
      <c r="D74" s="42" t="s">
        <v>178</v>
      </c>
      <c r="E74" s="43"/>
      <c r="F74" s="62" t="s">
        <v>57</v>
      </c>
      <c r="G74" s="45"/>
      <c r="H74" s="43"/>
      <c r="I74" s="46"/>
      <c r="J74" s="47"/>
      <c r="K74" s="48"/>
      <c r="L74" s="45"/>
      <c r="M74" s="49" t="s">
        <v>184</v>
      </c>
    </row>
    <row r="75" ht="36.75" customHeight="1">
      <c r="A75" s="50">
        <v>66.0</v>
      </c>
      <c r="B75" s="51" t="str">
        <f t="shared" si="13"/>
        <v>Contaminated Soil Removal Ottawa | Call Now</v>
      </c>
      <c r="C75" s="52" t="str">
        <f t="shared" si="14"/>
        <v>/contaminated-soil-removal-ottawa</v>
      </c>
      <c r="D75" s="53" t="s">
        <v>181</v>
      </c>
      <c r="E75" s="54"/>
      <c r="F75" s="62" t="s">
        <v>57</v>
      </c>
      <c r="G75" s="55"/>
      <c r="H75" s="54"/>
      <c r="I75" s="56"/>
      <c r="J75" s="57"/>
      <c r="K75" s="58"/>
      <c r="L75" s="55"/>
      <c r="M75" s="59" t="s">
        <v>184</v>
      </c>
    </row>
    <row r="76" ht="36.75" customHeight="1">
      <c r="A76" s="36">
        <v>67.0</v>
      </c>
      <c r="B76" s="40" t="str">
        <f t="shared" si="13"/>
        <v>Hazardous Waste Cleanup Ottawa | Call Now</v>
      </c>
      <c r="C76" s="41" t="str">
        <f t="shared" si="14"/>
        <v>/hazardous-waste-cleanup-ottawa</v>
      </c>
      <c r="D76" s="42" t="s">
        <v>83</v>
      </c>
      <c r="E76" s="43"/>
      <c r="F76" s="62" t="s">
        <v>57</v>
      </c>
      <c r="G76" s="45"/>
      <c r="H76" s="43"/>
      <c r="I76" s="46"/>
      <c r="J76" s="47"/>
      <c r="K76" s="48"/>
      <c r="L76" s="45"/>
      <c r="M76" s="49" t="s">
        <v>184</v>
      </c>
    </row>
    <row r="77" ht="36.75" customHeight="1">
      <c r="A77" s="50">
        <v>68.0</v>
      </c>
      <c r="B77" s="51" t="str">
        <f t="shared" si="13"/>
        <v>Industrial Spill Cleanup Ottawa | Call Now</v>
      </c>
      <c r="C77" s="52" t="str">
        <f t="shared" si="14"/>
        <v>/industrial-spill-cleanup-ottawa</v>
      </c>
      <c r="D77" s="53" t="s">
        <v>163</v>
      </c>
      <c r="E77" s="54"/>
      <c r="F77" s="62" t="s">
        <v>57</v>
      </c>
      <c r="G77" s="55"/>
      <c r="H77" s="54"/>
      <c r="I77" s="56"/>
      <c r="J77" s="57"/>
      <c r="K77" s="58"/>
      <c r="L77" s="55"/>
      <c r="M77" s="59" t="s">
        <v>184</v>
      </c>
    </row>
    <row r="78" ht="36.75" customHeight="1">
      <c r="A78" s="36">
        <v>69.0</v>
      </c>
      <c r="B78" s="40" t="str">
        <f t="shared" si="13"/>
        <v>Industrial Chemical Spill Cleanup Ottawa | Call Now</v>
      </c>
      <c r="C78" s="41" t="str">
        <f t="shared" si="14"/>
        <v>/industrial-chemical-spill-cleanup-ottawa</v>
      </c>
      <c r="D78" s="42" t="s">
        <v>211</v>
      </c>
      <c r="E78" s="43"/>
      <c r="F78" s="62" t="s">
        <v>57</v>
      </c>
      <c r="G78" s="45"/>
      <c r="H78" s="43"/>
      <c r="I78" s="46"/>
      <c r="J78" s="47"/>
      <c r="K78" s="48"/>
      <c r="L78" s="45"/>
      <c r="M78" s="49" t="s">
        <v>184</v>
      </c>
    </row>
    <row r="79" ht="36.75" customHeight="1">
      <c r="A79" s="50">
        <v>70.0</v>
      </c>
      <c r="B79" s="51" t="str">
        <f t="shared" si="13"/>
        <v>Environmental Spill Response Ottawa | Call Now</v>
      </c>
      <c r="C79" s="52" t="str">
        <f t="shared" si="14"/>
        <v>/environmental-spill-response-ottawa</v>
      </c>
      <c r="D79" s="53" t="s">
        <v>115</v>
      </c>
      <c r="E79" s="54"/>
      <c r="F79" s="62" t="s">
        <v>57</v>
      </c>
      <c r="G79" s="55"/>
      <c r="H79" s="54"/>
      <c r="I79" s="56"/>
      <c r="J79" s="57"/>
      <c r="K79" s="58"/>
      <c r="L79" s="55"/>
      <c r="M79" s="59" t="s">
        <v>184</v>
      </c>
    </row>
    <row r="80" ht="36.75" customHeight="1">
      <c r="A80" s="36">
        <v>71.0</v>
      </c>
      <c r="B80" s="40" t="str">
        <f t="shared" si="13"/>
        <v>Fuel Spill Cleanup Ottawa | Call Now</v>
      </c>
      <c r="C80" s="41" t="str">
        <f t="shared" si="14"/>
        <v>/fuel-spill-cleanup-ottawa</v>
      </c>
      <c r="D80" s="42" t="s">
        <v>224</v>
      </c>
      <c r="E80" s="43"/>
      <c r="F80" s="62" t="s">
        <v>57</v>
      </c>
      <c r="G80" s="45"/>
      <c r="H80" s="43"/>
      <c r="I80" s="46"/>
      <c r="J80" s="47"/>
      <c r="K80" s="48"/>
      <c r="L80" s="45"/>
      <c r="M80" s="49" t="s">
        <v>184</v>
      </c>
    </row>
    <row r="81" ht="36.75" customHeight="1">
      <c r="A81" s="50">
        <v>72.0</v>
      </c>
      <c r="B81" s="51" t="str">
        <f t="shared" si="13"/>
        <v>Gasoline Spill Cleanup Ottawa | Call Now</v>
      </c>
      <c r="C81" s="52" t="str">
        <f t="shared" si="14"/>
        <v>/gasoline-spill-cleanup-ottawa</v>
      </c>
      <c r="D81" s="53" t="s">
        <v>188</v>
      </c>
      <c r="E81" s="54"/>
      <c r="F81" s="64" t="s">
        <v>57</v>
      </c>
      <c r="G81" s="55"/>
      <c r="H81" s="54"/>
      <c r="I81" s="56"/>
      <c r="J81" s="57"/>
      <c r="K81" s="58"/>
      <c r="L81" s="55"/>
      <c r="M81" s="59" t="s">
        <v>184</v>
      </c>
    </row>
    <row r="82" ht="36.75" customHeight="1">
      <c r="A82" s="36">
        <v>73.0</v>
      </c>
      <c r="B82" s="40" t="str">
        <f t="shared" si="13"/>
        <v>Diesel Spill Cleanup Ottawa | Call Now</v>
      </c>
      <c r="C82" s="41" t="str">
        <f t="shared" si="14"/>
        <v>/diesel-spill-cleanup-ottawa</v>
      </c>
      <c r="D82" s="42" t="s">
        <v>237</v>
      </c>
      <c r="E82" s="43"/>
      <c r="F82" s="64" t="s">
        <v>57</v>
      </c>
      <c r="G82" s="45"/>
      <c r="H82" s="43"/>
      <c r="I82" s="46"/>
      <c r="J82" s="47"/>
      <c r="K82" s="48"/>
      <c r="L82" s="45"/>
      <c r="M82" s="49" t="s">
        <v>184</v>
      </c>
    </row>
    <row r="83" ht="36.75" customHeight="1">
      <c r="A83" s="50">
        <v>74.0</v>
      </c>
      <c r="B83" s="51" t="str">
        <f t="shared" si="13"/>
        <v>Hydraulic Oil Spill Cleanup Ottawa | Call Now</v>
      </c>
      <c r="C83" s="52" t="str">
        <f t="shared" si="14"/>
        <v>/hydraulic-oil-spill-cleanup-ottawa</v>
      </c>
      <c r="D83" s="53" t="s">
        <v>205</v>
      </c>
      <c r="E83" s="54"/>
      <c r="F83" s="64" t="s">
        <v>57</v>
      </c>
      <c r="G83" s="55"/>
      <c r="H83" s="54"/>
      <c r="I83" s="56"/>
      <c r="J83" s="57"/>
      <c r="K83" s="58"/>
      <c r="L83" s="55"/>
      <c r="M83" s="59" t="s">
        <v>184</v>
      </c>
    </row>
    <row r="84" ht="36.75" customHeight="1">
      <c r="A84" s="36">
        <v>75.0</v>
      </c>
      <c r="B84" s="40" t="str">
        <f t="shared" si="13"/>
        <v>Mercury Spill Cleanup Ottawa | Call Now</v>
      </c>
      <c r="C84" s="41" t="str">
        <f t="shared" si="14"/>
        <v>/mercury-spill-cleanup-ottawa</v>
      </c>
      <c r="D84" s="42" t="s">
        <v>228</v>
      </c>
      <c r="E84" s="43"/>
      <c r="F84" s="64" t="s">
        <v>57</v>
      </c>
      <c r="G84" s="45"/>
      <c r="H84" s="43"/>
      <c r="I84" s="46"/>
      <c r="J84" s="47"/>
      <c r="K84" s="48"/>
      <c r="L84" s="45"/>
      <c r="M84" s="49" t="s">
        <v>184</v>
      </c>
    </row>
    <row r="85" ht="27.0" customHeight="1">
      <c r="A85" s="61" t="s">
        <v>314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6"/>
    </row>
    <row r="86" ht="36.75" customHeight="1">
      <c r="A86" s="50">
        <v>76.0</v>
      </c>
      <c r="B86" s="51" t="str">
        <f t="shared" ref="B86:B100" si="15">PROPER(D86)&amp;" "&amp;F86&amp;" | Call Now"</f>
        <v>Emergency Spill Response Montreal | Call Now</v>
      </c>
      <c r="C86" s="52" t="str">
        <f t="shared" ref="C86:C100" si="16">"/"&amp;SUBSTITUTE(LOWER(TRIM(D86&amp;" "&amp;F86))," ","-")</f>
        <v>/emergency-spill-response-montreal</v>
      </c>
      <c r="D86" s="53" t="s">
        <v>43</v>
      </c>
      <c r="E86" s="54"/>
      <c r="F86" s="62" t="s">
        <v>62</v>
      </c>
      <c r="G86" s="55"/>
      <c r="H86" s="54"/>
      <c r="I86" s="56"/>
      <c r="J86" s="57"/>
      <c r="K86" s="58"/>
      <c r="L86" s="55"/>
      <c r="M86" s="59" t="s">
        <v>184</v>
      </c>
    </row>
    <row r="87" ht="36.75" customHeight="1">
      <c r="A87" s="36">
        <v>77.0</v>
      </c>
      <c r="B87" s="40" t="str">
        <f t="shared" si="15"/>
        <v>Chemical Spill Cleanup Montreal | Call Now</v>
      </c>
      <c r="C87" s="41" t="str">
        <f t="shared" si="16"/>
        <v>/chemical-spill-cleanup-montreal</v>
      </c>
      <c r="D87" s="42" t="s">
        <v>92</v>
      </c>
      <c r="E87" s="43"/>
      <c r="F87" s="62" t="s">
        <v>62</v>
      </c>
      <c r="G87" s="45"/>
      <c r="H87" s="43"/>
      <c r="I87" s="46"/>
      <c r="J87" s="47"/>
      <c r="K87" s="48"/>
      <c r="L87" s="45"/>
      <c r="M87" s="49" t="s">
        <v>184</v>
      </c>
    </row>
    <row r="88" ht="36.75" customHeight="1">
      <c r="A88" s="50">
        <v>78.0</v>
      </c>
      <c r="B88" s="51" t="str">
        <f t="shared" si="15"/>
        <v>Oil Spill Cleanup Montreal | Call Now</v>
      </c>
      <c r="C88" s="52" t="str">
        <f t="shared" si="16"/>
        <v>/oil-spill-cleanup-montreal</v>
      </c>
      <c r="D88" s="53" t="s">
        <v>186</v>
      </c>
      <c r="E88" s="54"/>
      <c r="F88" s="62" t="s">
        <v>62</v>
      </c>
      <c r="G88" s="55"/>
      <c r="H88" s="54"/>
      <c r="I88" s="56"/>
      <c r="J88" s="57"/>
      <c r="K88" s="58"/>
      <c r="L88" s="55"/>
      <c r="M88" s="59" t="s">
        <v>184</v>
      </c>
    </row>
    <row r="89" ht="36.75" customHeight="1">
      <c r="A89" s="36">
        <v>79.0</v>
      </c>
      <c r="B89" s="40" t="str">
        <f t="shared" si="15"/>
        <v>Hazmat Cleanup Montreal | Call Now</v>
      </c>
      <c r="C89" s="41" t="str">
        <f t="shared" si="16"/>
        <v>/hazmat-cleanup-montreal</v>
      </c>
      <c r="D89" s="42" t="s">
        <v>76</v>
      </c>
      <c r="E89" s="43"/>
      <c r="F89" s="62" t="s">
        <v>62</v>
      </c>
      <c r="G89" s="45"/>
      <c r="H89" s="43"/>
      <c r="I89" s="46"/>
      <c r="J89" s="47"/>
      <c r="K89" s="48"/>
      <c r="L89" s="45"/>
      <c r="M89" s="49" t="s">
        <v>184</v>
      </c>
    </row>
    <row r="90" ht="36.75" customHeight="1">
      <c r="A90" s="50">
        <v>80.0</v>
      </c>
      <c r="B90" s="51" t="str">
        <f t="shared" si="15"/>
        <v>Soil Remediation Services Montreal | Call Now</v>
      </c>
      <c r="C90" s="52" t="str">
        <f t="shared" si="16"/>
        <v>/soil-remediation-services-montreal</v>
      </c>
      <c r="D90" s="53" t="s">
        <v>178</v>
      </c>
      <c r="E90" s="54"/>
      <c r="F90" s="62" t="s">
        <v>62</v>
      </c>
      <c r="G90" s="55"/>
      <c r="H90" s="54"/>
      <c r="I90" s="56"/>
      <c r="J90" s="57"/>
      <c r="K90" s="58"/>
      <c r="L90" s="55"/>
      <c r="M90" s="59" t="s">
        <v>184</v>
      </c>
    </row>
    <row r="91" ht="36.75" customHeight="1">
      <c r="A91" s="36">
        <v>81.0</v>
      </c>
      <c r="B91" s="40" t="str">
        <f t="shared" si="15"/>
        <v>Contaminated Soil Removal Montreal | Call Now</v>
      </c>
      <c r="C91" s="41" t="str">
        <f t="shared" si="16"/>
        <v>/contaminated-soil-removal-montreal</v>
      </c>
      <c r="D91" s="42" t="s">
        <v>181</v>
      </c>
      <c r="E91" s="43"/>
      <c r="F91" s="62" t="s">
        <v>62</v>
      </c>
      <c r="G91" s="45"/>
      <c r="H91" s="43"/>
      <c r="I91" s="46"/>
      <c r="J91" s="47"/>
      <c r="K91" s="48"/>
      <c r="L91" s="45"/>
      <c r="M91" s="49" t="s">
        <v>184</v>
      </c>
    </row>
    <row r="92" ht="36.75" customHeight="1">
      <c r="A92" s="50">
        <v>82.0</v>
      </c>
      <c r="B92" s="51" t="str">
        <f t="shared" si="15"/>
        <v>Hazardous Waste Cleanup Montreal | Call Now</v>
      </c>
      <c r="C92" s="52" t="str">
        <f t="shared" si="16"/>
        <v>/hazardous-waste-cleanup-montreal</v>
      </c>
      <c r="D92" s="53" t="s">
        <v>83</v>
      </c>
      <c r="E92" s="54"/>
      <c r="F92" s="62" t="s">
        <v>62</v>
      </c>
      <c r="G92" s="55"/>
      <c r="H92" s="54"/>
      <c r="I92" s="56"/>
      <c r="J92" s="57"/>
      <c r="K92" s="58"/>
      <c r="L92" s="55"/>
      <c r="M92" s="59" t="s">
        <v>184</v>
      </c>
    </row>
    <row r="93" ht="36.75" customHeight="1">
      <c r="A93" s="36">
        <v>83.0</v>
      </c>
      <c r="B93" s="40" t="str">
        <f t="shared" si="15"/>
        <v>Industrial Spill Cleanup Montreal | Call Now</v>
      </c>
      <c r="C93" s="41" t="str">
        <f t="shared" si="16"/>
        <v>/industrial-spill-cleanup-montreal</v>
      </c>
      <c r="D93" s="42" t="s">
        <v>163</v>
      </c>
      <c r="E93" s="43"/>
      <c r="F93" s="62" t="s">
        <v>62</v>
      </c>
      <c r="G93" s="45"/>
      <c r="H93" s="43"/>
      <c r="I93" s="46"/>
      <c r="J93" s="47"/>
      <c r="K93" s="48"/>
      <c r="L93" s="45"/>
      <c r="M93" s="49" t="s">
        <v>184</v>
      </c>
    </row>
    <row r="94" ht="36.75" customHeight="1">
      <c r="A94" s="50">
        <v>84.0</v>
      </c>
      <c r="B94" s="51" t="str">
        <f t="shared" si="15"/>
        <v>Industrial Chemical Spill Cleanup Montreal | Call Now</v>
      </c>
      <c r="C94" s="52" t="str">
        <f t="shared" si="16"/>
        <v>/industrial-chemical-spill-cleanup-montreal</v>
      </c>
      <c r="D94" s="53" t="s">
        <v>211</v>
      </c>
      <c r="E94" s="54"/>
      <c r="F94" s="62" t="s">
        <v>62</v>
      </c>
      <c r="G94" s="55"/>
      <c r="H94" s="54"/>
      <c r="I94" s="56"/>
      <c r="J94" s="57"/>
      <c r="K94" s="58"/>
      <c r="L94" s="55"/>
      <c r="M94" s="59" t="s">
        <v>184</v>
      </c>
    </row>
    <row r="95" ht="36.75" customHeight="1">
      <c r="A95" s="36">
        <v>85.0</v>
      </c>
      <c r="B95" s="40" t="str">
        <f t="shared" si="15"/>
        <v>Environmental Spill Response Montreal | Call Now</v>
      </c>
      <c r="C95" s="41" t="str">
        <f t="shared" si="16"/>
        <v>/environmental-spill-response-montreal</v>
      </c>
      <c r="D95" s="42" t="s">
        <v>115</v>
      </c>
      <c r="E95" s="43"/>
      <c r="F95" s="62" t="s">
        <v>62</v>
      </c>
      <c r="G95" s="45"/>
      <c r="H95" s="43"/>
      <c r="I95" s="46"/>
      <c r="J95" s="47"/>
      <c r="K95" s="48"/>
      <c r="L95" s="45"/>
      <c r="M95" s="49" t="s">
        <v>184</v>
      </c>
    </row>
    <row r="96" ht="36.75" customHeight="1">
      <c r="A96" s="50">
        <v>86.0</v>
      </c>
      <c r="B96" s="51" t="str">
        <f t="shared" si="15"/>
        <v>Fuel Spill Cleanup Montreal | Call Now</v>
      </c>
      <c r="C96" s="52" t="str">
        <f t="shared" si="16"/>
        <v>/fuel-spill-cleanup-montreal</v>
      </c>
      <c r="D96" s="53" t="s">
        <v>224</v>
      </c>
      <c r="E96" s="54"/>
      <c r="F96" s="62" t="s">
        <v>62</v>
      </c>
      <c r="G96" s="55"/>
      <c r="H96" s="54"/>
      <c r="I96" s="56"/>
      <c r="J96" s="57"/>
      <c r="K96" s="58"/>
      <c r="L96" s="55"/>
      <c r="M96" s="59" t="s">
        <v>184</v>
      </c>
    </row>
    <row r="97" ht="36.75" customHeight="1">
      <c r="A97" s="36">
        <v>87.0</v>
      </c>
      <c r="B97" s="40" t="str">
        <f t="shared" si="15"/>
        <v>Gasoline Spill Cleanup Montreal | Call Now</v>
      </c>
      <c r="C97" s="41" t="str">
        <f t="shared" si="16"/>
        <v>/gasoline-spill-cleanup-montreal</v>
      </c>
      <c r="D97" s="42" t="s">
        <v>188</v>
      </c>
      <c r="E97" s="43"/>
      <c r="F97" s="64" t="s">
        <v>62</v>
      </c>
      <c r="G97" s="45"/>
      <c r="H97" s="43"/>
      <c r="I97" s="46"/>
      <c r="J97" s="47"/>
      <c r="K97" s="48"/>
      <c r="L97" s="45"/>
      <c r="M97" s="49" t="s">
        <v>184</v>
      </c>
    </row>
    <row r="98" ht="36.75" customHeight="1">
      <c r="A98" s="50">
        <v>88.0</v>
      </c>
      <c r="B98" s="51" t="str">
        <f t="shared" si="15"/>
        <v>Diesel Spill Cleanup Montreal | Call Now</v>
      </c>
      <c r="C98" s="52" t="str">
        <f t="shared" si="16"/>
        <v>/diesel-spill-cleanup-montreal</v>
      </c>
      <c r="D98" s="53" t="s">
        <v>237</v>
      </c>
      <c r="E98" s="54"/>
      <c r="F98" s="64" t="s">
        <v>62</v>
      </c>
      <c r="G98" s="55"/>
      <c r="H98" s="54"/>
      <c r="I98" s="56"/>
      <c r="J98" s="57"/>
      <c r="K98" s="58"/>
      <c r="L98" s="55"/>
      <c r="M98" s="59" t="s">
        <v>184</v>
      </c>
    </row>
    <row r="99" ht="36.75" customHeight="1">
      <c r="A99" s="36">
        <v>89.0</v>
      </c>
      <c r="B99" s="40" t="str">
        <f t="shared" si="15"/>
        <v>Hydraulic Oil Spill Cleanup Montreal | Call Now</v>
      </c>
      <c r="C99" s="41" t="str">
        <f t="shared" si="16"/>
        <v>/hydraulic-oil-spill-cleanup-montreal</v>
      </c>
      <c r="D99" s="42" t="s">
        <v>205</v>
      </c>
      <c r="E99" s="43"/>
      <c r="F99" s="64" t="s">
        <v>62</v>
      </c>
      <c r="G99" s="45"/>
      <c r="H99" s="43"/>
      <c r="I99" s="46"/>
      <c r="J99" s="47"/>
      <c r="K99" s="48"/>
      <c r="L99" s="45"/>
      <c r="M99" s="49" t="s">
        <v>184</v>
      </c>
    </row>
    <row r="100" ht="36.75" customHeight="1">
      <c r="A100" s="50">
        <v>90.0</v>
      </c>
      <c r="B100" s="51" t="str">
        <f t="shared" si="15"/>
        <v>Mercury Spill Cleanup Montreal | Call Now</v>
      </c>
      <c r="C100" s="52" t="str">
        <f t="shared" si="16"/>
        <v>/mercury-spill-cleanup-montreal</v>
      </c>
      <c r="D100" s="53" t="s">
        <v>228</v>
      </c>
      <c r="E100" s="54"/>
      <c r="F100" s="64" t="s">
        <v>62</v>
      </c>
      <c r="G100" s="55"/>
      <c r="H100" s="54"/>
      <c r="I100" s="56"/>
      <c r="J100" s="57"/>
      <c r="K100" s="58"/>
      <c r="L100" s="55"/>
      <c r="M100" s="59" t="s">
        <v>184</v>
      </c>
    </row>
    <row r="101" ht="27.0" customHeight="1">
      <c r="A101" s="61" t="s">
        <v>315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6"/>
    </row>
    <row r="102" ht="36.75" customHeight="1">
      <c r="A102" s="36">
        <v>91.0</v>
      </c>
      <c r="B102" s="40" t="str">
        <f t="shared" ref="B102:B116" si="17">PROPER(D102)&amp;" "&amp;F102&amp;" | Call Now"</f>
        <v>Emergency Spill Response Laval | Call Now</v>
      </c>
      <c r="C102" s="41" t="str">
        <f t="shared" ref="C102:C116" si="18">"/"&amp;SUBSTITUTE(LOWER(TRIM(D102&amp;" "&amp;F102))," ","-")</f>
        <v>/emergency-spill-response-laval</v>
      </c>
      <c r="D102" s="42" t="s">
        <v>43</v>
      </c>
      <c r="E102" s="43"/>
      <c r="F102" s="62" t="s">
        <v>66</v>
      </c>
      <c r="G102" s="45"/>
      <c r="H102" s="43"/>
      <c r="I102" s="46"/>
      <c r="J102" s="47"/>
      <c r="K102" s="48"/>
      <c r="L102" s="45"/>
      <c r="M102" s="49" t="s">
        <v>184</v>
      </c>
    </row>
    <row r="103" ht="36.75" customHeight="1">
      <c r="A103" s="50">
        <v>92.0</v>
      </c>
      <c r="B103" s="51" t="str">
        <f t="shared" si="17"/>
        <v>Chemical Spill Cleanup Laval | Call Now</v>
      </c>
      <c r="C103" s="52" t="str">
        <f t="shared" si="18"/>
        <v>/chemical-spill-cleanup-laval</v>
      </c>
      <c r="D103" s="53" t="s">
        <v>92</v>
      </c>
      <c r="E103" s="54"/>
      <c r="F103" s="62" t="s">
        <v>66</v>
      </c>
      <c r="G103" s="55"/>
      <c r="H103" s="54"/>
      <c r="I103" s="56"/>
      <c r="J103" s="57"/>
      <c r="K103" s="58"/>
      <c r="L103" s="55"/>
      <c r="M103" s="59" t="s">
        <v>184</v>
      </c>
    </row>
    <row r="104" ht="36.75" customHeight="1">
      <c r="A104" s="36">
        <v>93.0</v>
      </c>
      <c r="B104" s="40" t="str">
        <f t="shared" si="17"/>
        <v>Oil Spill Cleanup Laval | Call Now</v>
      </c>
      <c r="C104" s="41" t="str">
        <f t="shared" si="18"/>
        <v>/oil-spill-cleanup-laval</v>
      </c>
      <c r="D104" s="42" t="s">
        <v>186</v>
      </c>
      <c r="E104" s="43"/>
      <c r="F104" s="62" t="s">
        <v>66</v>
      </c>
      <c r="G104" s="45"/>
      <c r="H104" s="43"/>
      <c r="I104" s="46"/>
      <c r="J104" s="47"/>
      <c r="K104" s="48"/>
      <c r="L104" s="45"/>
      <c r="M104" s="49" t="s">
        <v>184</v>
      </c>
    </row>
    <row r="105" ht="36.75" customHeight="1">
      <c r="A105" s="50">
        <v>94.0</v>
      </c>
      <c r="B105" s="51" t="str">
        <f t="shared" si="17"/>
        <v>Hazmat Cleanup Laval | Call Now</v>
      </c>
      <c r="C105" s="52" t="str">
        <f t="shared" si="18"/>
        <v>/hazmat-cleanup-laval</v>
      </c>
      <c r="D105" s="53" t="s">
        <v>76</v>
      </c>
      <c r="E105" s="54"/>
      <c r="F105" s="62" t="s">
        <v>66</v>
      </c>
      <c r="G105" s="55"/>
      <c r="H105" s="54"/>
      <c r="I105" s="56"/>
      <c r="J105" s="57"/>
      <c r="K105" s="58"/>
      <c r="L105" s="55"/>
      <c r="M105" s="59" t="s">
        <v>184</v>
      </c>
    </row>
    <row r="106" ht="36.75" customHeight="1">
      <c r="A106" s="36">
        <v>95.0</v>
      </c>
      <c r="B106" s="40" t="str">
        <f t="shared" si="17"/>
        <v>Soil Remediation Services Laval | Call Now</v>
      </c>
      <c r="C106" s="41" t="str">
        <f t="shared" si="18"/>
        <v>/soil-remediation-services-laval</v>
      </c>
      <c r="D106" s="42" t="s">
        <v>178</v>
      </c>
      <c r="E106" s="43"/>
      <c r="F106" s="62" t="s">
        <v>66</v>
      </c>
      <c r="G106" s="45"/>
      <c r="H106" s="43"/>
      <c r="I106" s="46"/>
      <c r="J106" s="47"/>
      <c r="K106" s="48"/>
      <c r="L106" s="45"/>
      <c r="M106" s="49" t="s">
        <v>184</v>
      </c>
    </row>
    <row r="107" ht="36.75" customHeight="1">
      <c r="A107" s="50">
        <v>96.0</v>
      </c>
      <c r="B107" s="51" t="str">
        <f t="shared" si="17"/>
        <v>Contaminated Soil Removal Laval | Call Now</v>
      </c>
      <c r="C107" s="52" t="str">
        <f t="shared" si="18"/>
        <v>/contaminated-soil-removal-laval</v>
      </c>
      <c r="D107" s="53" t="s">
        <v>181</v>
      </c>
      <c r="E107" s="54"/>
      <c r="F107" s="62" t="s">
        <v>66</v>
      </c>
      <c r="G107" s="55"/>
      <c r="H107" s="54"/>
      <c r="I107" s="56"/>
      <c r="J107" s="57"/>
      <c r="K107" s="58"/>
      <c r="L107" s="55"/>
      <c r="M107" s="59" t="s">
        <v>184</v>
      </c>
    </row>
    <row r="108" ht="36.75" customHeight="1">
      <c r="A108" s="36">
        <v>97.0</v>
      </c>
      <c r="B108" s="40" t="str">
        <f t="shared" si="17"/>
        <v>Hazardous Waste Cleanup Laval | Call Now</v>
      </c>
      <c r="C108" s="41" t="str">
        <f t="shared" si="18"/>
        <v>/hazardous-waste-cleanup-laval</v>
      </c>
      <c r="D108" s="42" t="s">
        <v>83</v>
      </c>
      <c r="E108" s="43"/>
      <c r="F108" s="62" t="s">
        <v>66</v>
      </c>
      <c r="G108" s="45"/>
      <c r="H108" s="43"/>
      <c r="I108" s="46"/>
      <c r="J108" s="47"/>
      <c r="K108" s="48"/>
      <c r="L108" s="45"/>
      <c r="M108" s="49" t="s">
        <v>184</v>
      </c>
    </row>
    <row r="109" ht="36.75" customHeight="1">
      <c r="A109" s="50">
        <v>98.0</v>
      </c>
      <c r="B109" s="51" t="str">
        <f t="shared" si="17"/>
        <v>Industrial Spill Cleanup Laval | Call Now</v>
      </c>
      <c r="C109" s="52" t="str">
        <f t="shared" si="18"/>
        <v>/industrial-spill-cleanup-laval</v>
      </c>
      <c r="D109" s="53" t="s">
        <v>163</v>
      </c>
      <c r="E109" s="54"/>
      <c r="F109" s="62" t="s">
        <v>66</v>
      </c>
      <c r="G109" s="55"/>
      <c r="H109" s="54"/>
      <c r="I109" s="56"/>
      <c r="J109" s="57"/>
      <c r="K109" s="58"/>
      <c r="L109" s="55"/>
      <c r="M109" s="59" t="s">
        <v>184</v>
      </c>
    </row>
    <row r="110" ht="36.75" customHeight="1">
      <c r="A110" s="36">
        <v>99.0</v>
      </c>
      <c r="B110" s="40" t="str">
        <f t="shared" si="17"/>
        <v>Industrial Chemical Spill Cleanup Laval | Call Now</v>
      </c>
      <c r="C110" s="41" t="str">
        <f t="shared" si="18"/>
        <v>/industrial-chemical-spill-cleanup-laval</v>
      </c>
      <c r="D110" s="42" t="s">
        <v>211</v>
      </c>
      <c r="E110" s="43"/>
      <c r="F110" s="62" t="s">
        <v>66</v>
      </c>
      <c r="G110" s="45"/>
      <c r="H110" s="43"/>
      <c r="I110" s="46"/>
      <c r="J110" s="47"/>
      <c r="K110" s="48"/>
      <c r="L110" s="45"/>
      <c r="M110" s="49" t="s">
        <v>184</v>
      </c>
    </row>
    <row r="111" ht="36.75" customHeight="1">
      <c r="A111" s="50">
        <v>100.0</v>
      </c>
      <c r="B111" s="51" t="str">
        <f t="shared" si="17"/>
        <v>Environmental Spill Response Laval | Call Now</v>
      </c>
      <c r="C111" s="52" t="str">
        <f t="shared" si="18"/>
        <v>/environmental-spill-response-laval</v>
      </c>
      <c r="D111" s="53" t="s">
        <v>115</v>
      </c>
      <c r="E111" s="54"/>
      <c r="F111" s="62" t="s">
        <v>66</v>
      </c>
      <c r="G111" s="55"/>
      <c r="H111" s="54"/>
      <c r="I111" s="56"/>
      <c r="J111" s="57"/>
      <c r="K111" s="58"/>
      <c r="L111" s="55"/>
      <c r="M111" s="59" t="s">
        <v>184</v>
      </c>
    </row>
    <row r="112" ht="36.75" customHeight="1">
      <c r="A112" s="36">
        <v>101.0</v>
      </c>
      <c r="B112" s="40" t="str">
        <f t="shared" si="17"/>
        <v>Fuel Spill Cleanup Laval | Call Now</v>
      </c>
      <c r="C112" s="41" t="str">
        <f t="shared" si="18"/>
        <v>/fuel-spill-cleanup-laval</v>
      </c>
      <c r="D112" s="42" t="s">
        <v>224</v>
      </c>
      <c r="E112" s="43"/>
      <c r="F112" s="62" t="s">
        <v>66</v>
      </c>
      <c r="G112" s="45"/>
      <c r="H112" s="43"/>
      <c r="I112" s="46"/>
      <c r="J112" s="47"/>
      <c r="K112" s="48"/>
      <c r="L112" s="45"/>
      <c r="M112" s="49" t="s">
        <v>184</v>
      </c>
    </row>
    <row r="113" ht="36.75" customHeight="1">
      <c r="A113" s="50">
        <v>102.0</v>
      </c>
      <c r="B113" s="51" t="str">
        <f t="shared" si="17"/>
        <v>Gasoline Spill Cleanup Laval | Call Now</v>
      </c>
      <c r="C113" s="52" t="str">
        <f t="shared" si="18"/>
        <v>/gasoline-spill-cleanup-laval</v>
      </c>
      <c r="D113" s="53" t="s">
        <v>188</v>
      </c>
      <c r="E113" s="54"/>
      <c r="F113" s="64" t="s">
        <v>66</v>
      </c>
      <c r="G113" s="55"/>
      <c r="H113" s="54"/>
      <c r="I113" s="56"/>
      <c r="J113" s="57"/>
      <c r="K113" s="58"/>
      <c r="L113" s="55"/>
      <c r="M113" s="59" t="s">
        <v>184</v>
      </c>
    </row>
    <row r="114" ht="36.75" customHeight="1">
      <c r="A114" s="36">
        <v>103.0</v>
      </c>
      <c r="B114" s="40" t="str">
        <f t="shared" si="17"/>
        <v>Diesel Spill Cleanup Laval | Call Now</v>
      </c>
      <c r="C114" s="41" t="str">
        <f t="shared" si="18"/>
        <v>/diesel-spill-cleanup-laval</v>
      </c>
      <c r="D114" s="42" t="s">
        <v>237</v>
      </c>
      <c r="E114" s="43"/>
      <c r="F114" s="64" t="s">
        <v>66</v>
      </c>
      <c r="G114" s="45"/>
      <c r="H114" s="43"/>
      <c r="I114" s="46"/>
      <c r="J114" s="47"/>
      <c r="K114" s="48"/>
      <c r="L114" s="45"/>
      <c r="M114" s="49" t="s">
        <v>184</v>
      </c>
    </row>
    <row r="115" ht="36.75" customHeight="1">
      <c r="A115" s="50">
        <v>104.0</v>
      </c>
      <c r="B115" s="51" t="str">
        <f t="shared" si="17"/>
        <v>Hydraulic Oil Spill Cleanup Laval | Call Now</v>
      </c>
      <c r="C115" s="52" t="str">
        <f t="shared" si="18"/>
        <v>/hydraulic-oil-spill-cleanup-laval</v>
      </c>
      <c r="D115" s="53" t="s">
        <v>205</v>
      </c>
      <c r="E115" s="54"/>
      <c r="F115" s="64" t="s">
        <v>66</v>
      </c>
      <c r="G115" s="55"/>
      <c r="H115" s="54"/>
      <c r="I115" s="56"/>
      <c r="J115" s="57"/>
      <c r="K115" s="58"/>
      <c r="L115" s="55"/>
      <c r="M115" s="59" t="s">
        <v>184</v>
      </c>
    </row>
    <row r="116" ht="36.75" customHeight="1">
      <c r="A116" s="36">
        <v>105.0</v>
      </c>
      <c r="B116" s="40" t="str">
        <f t="shared" si="17"/>
        <v>Mercury Spill Cleanup Laval | Call Now</v>
      </c>
      <c r="C116" s="41" t="str">
        <f t="shared" si="18"/>
        <v>/mercury-spill-cleanup-laval</v>
      </c>
      <c r="D116" s="42" t="s">
        <v>228</v>
      </c>
      <c r="E116" s="43"/>
      <c r="F116" s="64" t="s">
        <v>66</v>
      </c>
      <c r="G116" s="45"/>
      <c r="H116" s="43"/>
      <c r="I116" s="46"/>
      <c r="J116" s="47"/>
      <c r="K116" s="48"/>
      <c r="L116" s="45"/>
      <c r="M116" s="49" t="s">
        <v>184</v>
      </c>
    </row>
    <row r="117" ht="27.0" customHeight="1">
      <c r="A117" s="61" t="s">
        <v>316</v>
      </c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6"/>
    </row>
    <row r="118" ht="36.75" customHeight="1">
      <c r="A118" s="50">
        <v>106.0</v>
      </c>
      <c r="B118" s="51" t="str">
        <f t="shared" ref="B118:B132" si="19">PROPER(D118)&amp;" "&amp;F118&amp;" | Call Now"</f>
        <v>Emergency Spill Response Hamilton | Call Now</v>
      </c>
      <c r="C118" s="52" t="str">
        <f t="shared" ref="C118:C132" si="20">"/"&amp;SUBSTITUTE(LOWER(TRIM(D118&amp;" "&amp;F118))," ","-")</f>
        <v>/emergency-spill-response-hamilton</v>
      </c>
      <c r="D118" s="53" t="s">
        <v>43</v>
      </c>
      <c r="E118" s="54"/>
      <c r="F118" s="62" t="s">
        <v>73</v>
      </c>
      <c r="G118" s="55"/>
      <c r="H118" s="54"/>
      <c r="I118" s="56"/>
      <c r="J118" s="57"/>
      <c r="K118" s="58"/>
      <c r="L118" s="55"/>
      <c r="M118" s="59" t="s">
        <v>184</v>
      </c>
    </row>
    <row r="119" ht="36.75" customHeight="1">
      <c r="A119" s="36">
        <v>107.0</v>
      </c>
      <c r="B119" s="40" t="str">
        <f t="shared" si="19"/>
        <v>Chemical Spill Cleanup Hamilton | Call Now</v>
      </c>
      <c r="C119" s="41" t="str">
        <f t="shared" si="20"/>
        <v>/chemical-spill-cleanup-hamilton</v>
      </c>
      <c r="D119" s="42" t="s">
        <v>92</v>
      </c>
      <c r="E119" s="43"/>
      <c r="F119" s="62" t="s">
        <v>73</v>
      </c>
      <c r="G119" s="45"/>
      <c r="H119" s="43"/>
      <c r="I119" s="46"/>
      <c r="J119" s="47"/>
      <c r="K119" s="48"/>
      <c r="L119" s="45"/>
      <c r="M119" s="49" t="s">
        <v>184</v>
      </c>
    </row>
    <row r="120" ht="36.75" customHeight="1">
      <c r="A120" s="50">
        <v>108.0</v>
      </c>
      <c r="B120" s="51" t="str">
        <f t="shared" si="19"/>
        <v>Oil Spill Cleanup Hamilton | Call Now</v>
      </c>
      <c r="C120" s="52" t="str">
        <f t="shared" si="20"/>
        <v>/oil-spill-cleanup-hamilton</v>
      </c>
      <c r="D120" s="53" t="s">
        <v>186</v>
      </c>
      <c r="E120" s="54"/>
      <c r="F120" s="62" t="s">
        <v>73</v>
      </c>
      <c r="G120" s="55"/>
      <c r="H120" s="54"/>
      <c r="I120" s="56"/>
      <c r="J120" s="57"/>
      <c r="K120" s="58"/>
      <c r="L120" s="55"/>
      <c r="M120" s="59" t="s">
        <v>184</v>
      </c>
    </row>
    <row r="121" ht="36.75" customHeight="1">
      <c r="A121" s="36">
        <v>109.0</v>
      </c>
      <c r="B121" s="40" t="str">
        <f t="shared" si="19"/>
        <v>Hazmat Cleanup Hamilton | Call Now</v>
      </c>
      <c r="C121" s="41" t="str">
        <f t="shared" si="20"/>
        <v>/hazmat-cleanup-hamilton</v>
      </c>
      <c r="D121" s="42" t="s">
        <v>76</v>
      </c>
      <c r="E121" s="43"/>
      <c r="F121" s="62" t="s">
        <v>73</v>
      </c>
      <c r="G121" s="45"/>
      <c r="H121" s="43"/>
      <c r="I121" s="46"/>
      <c r="J121" s="47"/>
      <c r="K121" s="48"/>
      <c r="L121" s="45"/>
      <c r="M121" s="49" t="s">
        <v>184</v>
      </c>
    </row>
    <row r="122" ht="36.75" customHeight="1">
      <c r="A122" s="50">
        <v>110.0</v>
      </c>
      <c r="B122" s="51" t="str">
        <f t="shared" si="19"/>
        <v>Soil Remediation Services Hamilton | Call Now</v>
      </c>
      <c r="C122" s="52" t="str">
        <f t="shared" si="20"/>
        <v>/soil-remediation-services-hamilton</v>
      </c>
      <c r="D122" s="53" t="s">
        <v>178</v>
      </c>
      <c r="E122" s="54"/>
      <c r="F122" s="62" t="s">
        <v>73</v>
      </c>
      <c r="G122" s="55"/>
      <c r="H122" s="54"/>
      <c r="I122" s="56"/>
      <c r="J122" s="57"/>
      <c r="K122" s="58"/>
      <c r="L122" s="55"/>
      <c r="M122" s="59" t="s">
        <v>184</v>
      </c>
    </row>
    <row r="123" ht="36.75" customHeight="1">
      <c r="A123" s="36">
        <v>111.0</v>
      </c>
      <c r="B123" s="40" t="str">
        <f t="shared" si="19"/>
        <v>Contaminated Soil Removal Hamilton | Call Now</v>
      </c>
      <c r="C123" s="41" t="str">
        <f t="shared" si="20"/>
        <v>/contaminated-soil-removal-hamilton</v>
      </c>
      <c r="D123" s="42" t="s">
        <v>181</v>
      </c>
      <c r="E123" s="43"/>
      <c r="F123" s="62" t="s">
        <v>73</v>
      </c>
      <c r="G123" s="45"/>
      <c r="H123" s="43"/>
      <c r="I123" s="46"/>
      <c r="J123" s="47"/>
      <c r="K123" s="48"/>
      <c r="L123" s="45"/>
      <c r="M123" s="49" t="s">
        <v>184</v>
      </c>
    </row>
    <row r="124" ht="36.75" customHeight="1">
      <c r="A124" s="50">
        <v>112.0</v>
      </c>
      <c r="B124" s="51" t="str">
        <f t="shared" si="19"/>
        <v>Hazardous Waste Cleanup Hamilton | Call Now</v>
      </c>
      <c r="C124" s="52" t="str">
        <f t="shared" si="20"/>
        <v>/hazardous-waste-cleanup-hamilton</v>
      </c>
      <c r="D124" s="53" t="s">
        <v>83</v>
      </c>
      <c r="E124" s="54"/>
      <c r="F124" s="62" t="s">
        <v>73</v>
      </c>
      <c r="G124" s="55"/>
      <c r="H124" s="54"/>
      <c r="I124" s="56"/>
      <c r="J124" s="57"/>
      <c r="K124" s="58"/>
      <c r="L124" s="55"/>
      <c r="M124" s="59" t="s">
        <v>184</v>
      </c>
    </row>
    <row r="125" ht="36.75" customHeight="1">
      <c r="A125" s="36">
        <v>113.0</v>
      </c>
      <c r="B125" s="40" t="str">
        <f t="shared" si="19"/>
        <v>Industrial Spill Cleanup Hamilton | Call Now</v>
      </c>
      <c r="C125" s="41" t="str">
        <f t="shared" si="20"/>
        <v>/industrial-spill-cleanup-hamilton</v>
      </c>
      <c r="D125" s="42" t="s">
        <v>163</v>
      </c>
      <c r="E125" s="43"/>
      <c r="F125" s="62" t="s">
        <v>73</v>
      </c>
      <c r="G125" s="45"/>
      <c r="H125" s="43"/>
      <c r="I125" s="46"/>
      <c r="J125" s="47"/>
      <c r="K125" s="48"/>
      <c r="L125" s="45"/>
      <c r="M125" s="49" t="s">
        <v>184</v>
      </c>
    </row>
    <row r="126" ht="36.75" customHeight="1">
      <c r="A126" s="50">
        <v>114.0</v>
      </c>
      <c r="B126" s="51" t="str">
        <f t="shared" si="19"/>
        <v>Industrial Chemical Spill Cleanup Hamilton | Call Now</v>
      </c>
      <c r="C126" s="52" t="str">
        <f t="shared" si="20"/>
        <v>/industrial-chemical-spill-cleanup-hamilton</v>
      </c>
      <c r="D126" s="53" t="s">
        <v>211</v>
      </c>
      <c r="E126" s="54"/>
      <c r="F126" s="62" t="s">
        <v>73</v>
      </c>
      <c r="G126" s="55"/>
      <c r="H126" s="54"/>
      <c r="I126" s="56"/>
      <c r="J126" s="57"/>
      <c r="K126" s="58"/>
      <c r="L126" s="55"/>
      <c r="M126" s="59" t="s">
        <v>184</v>
      </c>
    </row>
    <row r="127" ht="36.75" customHeight="1">
      <c r="A127" s="36">
        <v>115.0</v>
      </c>
      <c r="B127" s="40" t="str">
        <f t="shared" si="19"/>
        <v>Environmental Spill Response Hamilton | Call Now</v>
      </c>
      <c r="C127" s="41" t="str">
        <f t="shared" si="20"/>
        <v>/environmental-spill-response-hamilton</v>
      </c>
      <c r="D127" s="42" t="s">
        <v>115</v>
      </c>
      <c r="E127" s="43"/>
      <c r="F127" s="62" t="s">
        <v>73</v>
      </c>
      <c r="G127" s="45"/>
      <c r="H127" s="43"/>
      <c r="I127" s="46"/>
      <c r="J127" s="47"/>
      <c r="K127" s="48"/>
      <c r="L127" s="45"/>
      <c r="M127" s="49" t="s">
        <v>184</v>
      </c>
    </row>
    <row r="128" ht="36.75" customHeight="1">
      <c r="A128" s="50">
        <v>116.0</v>
      </c>
      <c r="B128" s="51" t="str">
        <f t="shared" si="19"/>
        <v>Fuel Spill Cleanup Hamilton | Call Now</v>
      </c>
      <c r="C128" s="52" t="str">
        <f t="shared" si="20"/>
        <v>/fuel-spill-cleanup-hamilton</v>
      </c>
      <c r="D128" s="53" t="s">
        <v>224</v>
      </c>
      <c r="E128" s="54"/>
      <c r="F128" s="62" t="s">
        <v>73</v>
      </c>
      <c r="G128" s="55"/>
      <c r="H128" s="54"/>
      <c r="I128" s="56"/>
      <c r="J128" s="57"/>
      <c r="K128" s="58"/>
      <c r="L128" s="55"/>
      <c r="M128" s="59" t="s">
        <v>184</v>
      </c>
    </row>
    <row r="129" ht="36.75" customHeight="1">
      <c r="A129" s="36">
        <v>117.0</v>
      </c>
      <c r="B129" s="40" t="str">
        <f t="shared" si="19"/>
        <v>Gasoline Spill Cleanup Hamilton | Call Now</v>
      </c>
      <c r="C129" s="41" t="str">
        <f t="shared" si="20"/>
        <v>/gasoline-spill-cleanup-hamilton</v>
      </c>
      <c r="D129" s="42" t="s">
        <v>188</v>
      </c>
      <c r="E129" s="43"/>
      <c r="F129" s="64" t="s">
        <v>73</v>
      </c>
      <c r="G129" s="45"/>
      <c r="H129" s="43"/>
      <c r="I129" s="46"/>
      <c r="J129" s="47"/>
      <c r="K129" s="48"/>
      <c r="L129" s="45"/>
      <c r="M129" s="49" t="s">
        <v>184</v>
      </c>
    </row>
    <row r="130" ht="36.75" customHeight="1">
      <c r="A130" s="50">
        <v>118.0</v>
      </c>
      <c r="B130" s="51" t="str">
        <f t="shared" si="19"/>
        <v>Diesel Spill Cleanup Hamilton | Call Now</v>
      </c>
      <c r="C130" s="52" t="str">
        <f t="shared" si="20"/>
        <v>/diesel-spill-cleanup-hamilton</v>
      </c>
      <c r="D130" s="53" t="s">
        <v>237</v>
      </c>
      <c r="E130" s="54"/>
      <c r="F130" s="64" t="s">
        <v>73</v>
      </c>
      <c r="G130" s="55"/>
      <c r="H130" s="54"/>
      <c r="I130" s="56"/>
      <c r="J130" s="57"/>
      <c r="K130" s="58"/>
      <c r="L130" s="55"/>
      <c r="M130" s="59" t="s">
        <v>184</v>
      </c>
    </row>
    <row r="131" ht="36.75" customHeight="1">
      <c r="A131" s="36">
        <v>119.0</v>
      </c>
      <c r="B131" s="40" t="str">
        <f t="shared" si="19"/>
        <v>Hydraulic Oil Spill Cleanup Hamilton | Call Now</v>
      </c>
      <c r="C131" s="41" t="str">
        <f t="shared" si="20"/>
        <v>/hydraulic-oil-spill-cleanup-hamilton</v>
      </c>
      <c r="D131" s="42" t="s">
        <v>205</v>
      </c>
      <c r="E131" s="43"/>
      <c r="F131" s="64" t="s">
        <v>73</v>
      </c>
      <c r="G131" s="45"/>
      <c r="H131" s="43"/>
      <c r="I131" s="46"/>
      <c r="J131" s="47"/>
      <c r="K131" s="48"/>
      <c r="L131" s="45"/>
      <c r="M131" s="49" t="s">
        <v>184</v>
      </c>
    </row>
    <row r="132" ht="36.75" customHeight="1">
      <c r="A132" s="50">
        <v>120.0</v>
      </c>
      <c r="B132" s="51" t="str">
        <f t="shared" si="19"/>
        <v>Mercury Spill Cleanup Hamilton | Call Now</v>
      </c>
      <c r="C132" s="52" t="str">
        <f t="shared" si="20"/>
        <v>/mercury-spill-cleanup-hamilton</v>
      </c>
      <c r="D132" s="53" t="s">
        <v>228</v>
      </c>
      <c r="E132" s="54"/>
      <c r="F132" s="64" t="s">
        <v>73</v>
      </c>
      <c r="G132" s="55"/>
      <c r="H132" s="54"/>
      <c r="I132" s="56"/>
      <c r="J132" s="57"/>
      <c r="K132" s="58"/>
      <c r="L132" s="55"/>
      <c r="M132" s="59" t="s">
        <v>184</v>
      </c>
    </row>
    <row r="133" ht="27.0" customHeight="1">
      <c r="A133" s="61" t="s">
        <v>317</v>
      </c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6"/>
    </row>
    <row r="134" ht="36.75" customHeight="1">
      <c r="A134" s="36">
        <v>121.0</v>
      </c>
      <c r="B134" s="40" t="str">
        <f t="shared" ref="B134:B148" si="21">PROPER(D134)&amp;" "&amp;F134&amp;" | Call Now"</f>
        <v>Emergency Spill Response St Catharines | Call Now</v>
      </c>
      <c r="C134" s="41" t="str">
        <f t="shared" ref="C134:C148" si="22">"/"&amp;SUBSTITUTE(LOWER(TRIM(D134&amp;" "&amp;F134))," ","-")</f>
        <v>/emergency-spill-response-st-catharines</v>
      </c>
      <c r="D134" s="42" t="s">
        <v>43</v>
      </c>
      <c r="E134" s="43"/>
      <c r="F134" s="62" t="s">
        <v>74</v>
      </c>
      <c r="G134" s="45"/>
      <c r="H134" s="43"/>
      <c r="I134" s="46"/>
      <c r="J134" s="47"/>
      <c r="K134" s="48"/>
      <c r="L134" s="45"/>
      <c r="M134" s="49" t="s">
        <v>184</v>
      </c>
    </row>
    <row r="135" ht="36.75" customHeight="1">
      <c r="A135" s="50">
        <v>122.0</v>
      </c>
      <c r="B135" s="51" t="str">
        <f t="shared" si="21"/>
        <v>Chemical Spill Cleanup St Catharines | Call Now</v>
      </c>
      <c r="C135" s="52" t="str">
        <f t="shared" si="22"/>
        <v>/chemical-spill-cleanup-st-catharines</v>
      </c>
      <c r="D135" s="53" t="s">
        <v>92</v>
      </c>
      <c r="E135" s="54"/>
      <c r="F135" s="62" t="s">
        <v>74</v>
      </c>
      <c r="G135" s="55"/>
      <c r="H135" s="54"/>
      <c r="I135" s="56"/>
      <c r="J135" s="57"/>
      <c r="K135" s="58"/>
      <c r="L135" s="55"/>
      <c r="M135" s="59" t="s">
        <v>184</v>
      </c>
    </row>
    <row r="136" ht="36.75" customHeight="1">
      <c r="A136" s="36">
        <v>123.0</v>
      </c>
      <c r="B136" s="40" t="str">
        <f t="shared" si="21"/>
        <v>Oil Spill Cleanup St Catharines | Call Now</v>
      </c>
      <c r="C136" s="41" t="str">
        <f t="shared" si="22"/>
        <v>/oil-spill-cleanup-st-catharines</v>
      </c>
      <c r="D136" s="42" t="s">
        <v>186</v>
      </c>
      <c r="E136" s="43"/>
      <c r="F136" s="62" t="s">
        <v>74</v>
      </c>
      <c r="G136" s="45"/>
      <c r="H136" s="43"/>
      <c r="I136" s="46"/>
      <c r="J136" s="47"/>
      <c r="K136" s="48"/>
      <c r="L136" s="45"/>
      <c r="M136" s="49" t="s">
        <v>184</v>
      </c>
    </row>
    <row r="137" ht="36.75" customHeight="1">
      <c r="A137" s="50">
        <v>124.0</v>
      </c>
      <c r="B137" s="51" t="str">
        <f t="shared" si="21"/>
        <v>Hazmat Cleanup St Catharines | Call Now</v>
      </c>
      <c r="C137" s="52" t="str">
        <f t="shared" si="22"/>
        <v>/hazmat-cleanup-st-catharines</v>
      </c>
      <c r="D137" s="53" t="s">
        <v>76</v>
      </c>
      <c r="E137" s="54"/>
      <c r="F137" s="62" t="s">
        <v>74</v>
      </c>
      <c r="G137" s="55"/>
      <c r="H137" s="54"/>
      <c r="I137" s="56"/>
      <c r="J137" s="57"/>
      <c r="K137" s="58"/>
      <c r="L137" s="55"/>
      <c r="M137" s="59" t="s">
        <v>184</v>
      </c>
    </row>
    <row r="138" ht="36.75" customHeight="1">
      <c r="A138" s="36">
        <v>125.0</v>
      </c>
      <c r="B138" s="40" t="str">
        <f t="shared" si="21"/>
        <v>Soil Remediation Services St Catharines | Call Now</v>
      </c>
      <c r="C138" s="41" t="str">
        <f t="shared" si="22"/>
        <v>/soil-remediation-services-st-catharines</v>
      </c>
      <c r="D138" s="42" t="s">
        <v>178</v>
      </c>
      <c r="E138" s="43"/>
      <c r="F138" s="62" t="s">
        <v>74</v>
      </c>
      <c r="G138" s="45"/>
      <c r="H138" s="43"/>
      <c r="I138" s="46"/>
      <c r="J138" s="47"/>
      <c r="K138" s="48"/>
      <c r="L138" s="45"/>
      <c r="M138" s="49" t="s">
        <v>184</v>
      </c>
    </row>
    <row r="139" ht="36.75" customHeight="1">
      <c r="A139" s="50">
        <v>126.0</v>
      </c>
      <c r="B139" s="51" t="str">
        <f t="shared" si="21"/>
        <v>Contaminated Soil Removal St Catharines | Call Now</v>
      </c>
      <c r="C139" s="52" t="str">
        <f t="shared" si="22"/>
        <v>/contaminated-soil-removal-st-catharines</v>
      </c>
      <c r="D139" s="53" t="s">
        <v>181</v>
      </c>
      <c r="E139" s="54"/>
      <c r="F139" s="62" t="s">
        <v>74</v>
      </c>
      <c r="G139" s="55"/>
      <c r="H139" s="54"/>
      <c r="I139" s="56"/>
      <c r="J139" s="57"/>
      <c r="K139" s="58"/>
      <c r="L139" s="55"/>
      <c r="M139" s="59" t="s">
        <v>184</v>
      </c>
    </row>
    <row r="140" ht="36.75" customHeight="1">
      <c r="A140" s="36">
        <v>127.0</v>
      </c>
      <c r="B140" s="40" t="str">
        <f t="shared" si="21"/>
        <v>Hazardous Waste Cleanup St Catharines | Call Now</v>
      </c>
      <c r="C140" s="41" t="str">
        <f t="shared" si="22"/>
        <v>/hazardous-waste-cleanup-st-catharines</v>
      </c>
      <c r="D140" s="42" t="s">
        <v>83</v>
      </c>
      <c r="E140" s="43"/>
      <c r="F140" s="62" t="s">
        <v>74</v>
      </c>
      <c r="G140" s="45"/>
      <c r="H140" s="43"/>
      <c r="I140" s="46"/>
      <c r="J140" s="47"/>
      <c r="K140" s="48"/>
      <c r="L140" s="45"/>
      <c r="M140" s="49" t="s">
        <v>184</v>
      </c>
    </row>
    <row r="141" ht="36.75" customHeight="1">
      <c r="A141" s="50">
        <v>128.0</v>
      </c>
      <c r="B141" s="51" t="str">
        <f t="shared" si="21"/>
        <v>Industrial Spill Cleanup St Catharines | Call Now</v>
      </c>
      <c r="C141" s="52" t="str">
        <f t="shared" si="22"/>
        <v>/industrial-spill-cleanup-st-catharines</v>
      </c>
      <c r="D141" s="53" t="s">
        <v>163</v>
      </c>
      <c r="E141" s="54"/>
      <c r="F141" s="62" t="s">
        <v>74</v>
      </c>
      <c r="G141" s="55"/>
      <c r="H141" s="54"/>
      <c r="I141" s="56"/>
      <c r="J141" s="57"/>
      <c r="K141" s="58"/>
      <c r="L141" s="55"/>
      <c r="M141" s="59" t="s">
        <v>184</v>
      </c>
    </row>
    <row r="142" ht="36.75" customHeight="1">
      <c r="A142" s="36">
        <v>129.0</v>
      </c>
      <c r="B142" s="40" t="str">
        <f t="shared" si="21"/>
        <v>Industrial Chemical Spill Cleanup St Catharines | Call Now</v>
      </c>
      <c r="C142" s="41" t="str">
        <f t="shared" si="22"/>
        <v>/industrial-chemical-spill-cleanup-st-catharines</v>
      </c>
      <c r="D142" s="42" t="s">
        <v>211</v>
      </c>
      <c r="E142" s="43"/>
      <c r="F142" s="62" t="s">
        <v>74</v>
      </c>
      <c r="G142" s="45"/>
      <c r="H142" s="43"/>
      <c r="I142" s="46"/>
      <c r="J142" s="47"/>
      <c r="K142" s="48"/>
      <c r="L142" s="45"/>
      <c r="M142" s="49" t="s">
        <v>184</v>
      </c>
    </row>
    <row r="143" ht="36.75" customHeight="1">
      <c r="A143" s="50">
        <v>130.0</v>
      </c>
      <c r="B143" s="51" t="str">
        <f t="shared" si="21"/>
        <v>Environmental Spill Response St Catharines | Call Now</v>
      </c>
      <c r="C143" s="52" t="str">
        <f t="shared" si="22"/>
        <v>/environmental-spill-response-st-catharines</v>
      </c>
      <c r="D143" s="53" t="s">
        <v>115</v>
      </c>
      <c r="E143" s="54"/>
      <c r="F143" s="62" t="s">
        <v>74</v>
      </c>
      <c r="G143" s="55"/>
      <c r="H143" s="54"/>
      <c r="I143" s="56"/>
      <c r="J143" s="57"/>
      <c r="K143" s="58"/>
      <c r="L143" s="55"/>
      <c r="M143" s="59" t="s">
        <v>184</v>
      </c>
    </row>
    <row r="144" ht="36.75" customHeight="1">
      <c r="A144" s="36">
        <v>131.0</v>
      </c>
      <c r="B144" s="40" t="str">
        <f t="shared" si="21"/>
        <v>Fuel Spill Cleanup St Catharines | Call Now</v>
      </c>
      <c r="C144" s="41" t="str">
        <f t="shared" si="22"/>
        <v>/fuel-spill-cleanup-st-catharines</v>
      </c>
      <c r="D144" s="42" t="s">
        <v>224</v>
      </c>
      <c r="E144" s="43"/>
      <c r="F144" s="62" t="s">
        <v>74</v>
      </c>
      <c r="G144" s="45"/>
      <c r="H144" s="43"/>
      <c r="I144" s="46"/>
      <c r="J144" s="47"/>
      <c r="K144" s="48"/>
      <c r="L144" s="45"/>
      <c r="M144" s="49" t="s">
        <v>184</v>
      </c>
    </row>
    <row r="145" ht="36.75" customHeight="1">
      <c r="A145" s="50">
        <v>132.0</v>
      </c>
      <c r="B145" s="51" t="str">
        <f t="shared" si="21"/>
        <v>Gasoline Spill Cleanup St Catharines | Call Now</v>
      </c>
      <c r="C145" s="52" t="str">
        <f t="shared" si="22"/>
        <v>/gasoline-spill-cleanup-st-catharines</v>
      </c>
      <c r="D145" s="53" t="s">
        <v>188</v>
      </c>
      <c r="E145" s="54"/>
      <c r="F145" s="64" t="s">
        <v>74</v>
      </c>
      <c r="G145" s="55"/>
      <c r="H145" s="54"/>
      <c r="I145" s="56"/>
      <c r="J145" s="57"/>
      <c r="K145" s="58"/>
      <c r="L145" s="55"/>
      <c r="M145" s="59" t="s">
        <v>184</v>
      </c>
    </row>
    <row r="146" ht="36.75" customHeight="1">
      <c r="A146" s="36">
        <v>133.0</v>
      </c>
      <c r="B146" s="40" t="str">
        <f t="shared" si="21"/>
        <v>Diesel Spill Cleanup St Catharines | Call Now</v>
      </c>
      <c r="C146" s="41" t="str">
        <f t="shared" si="22"/>
        <v>/diesel-spill-cleanup-st-catharines</v>
      </c>
      <c r="D146" s="42" t="s">
        <v>237</v>
      </c>
      <c r="E146" s="43"/>
      <c r="F146" s="64" t="s">
        <v>74</v>
      </c>
      <c r="G146" s="45"/>
      <c r="H146" s="43"/>
      <c r="I146" s="46"/>
      <c r="J146" s="47"/>
      <c r="K146" s="48"/>
      <c r="L146" s="45"/>
      <c r="M146" s="49" t="s">
        <v>184</v>
      </c>
    </row>
    <row r="147" ht="36.75" customHeight="1">
      <c r="A147" s="50">
        <v>134.0</v>
      </c>
      <c r="B147" s="51" t="str">
        <f t="shared" si="21"/>
        <v>Hydraulic Oil Spill Cleanup St Catharines | Call Now</v>
      </c>
      <c r="C147" s="52" t="str">
        <f t="shared" si="22"/>
        <v>/hydraulic-oil-spill-cleanup-st-catharines</v>
      </c>
      <c r="D147" s="53" t="s">
        <v>205</v>
      </c>
      <c r="E147" s="54"/>
      <c r="F147" s="64" t="s">
        <v>74</v>
      </c>
      <c r="G147" s="55"/>
      <c r="H147" s="54"/>
      <c r="I147" s="56"/>
      <c r="J147" s="57"/>
      <c r="K147" s="58"/>
      <c r="L147" s="55"/>
      <c r="M147" s="59" t="s">
        <v>184</v>
      </c>
    </row>
    <row r="148" ht="36.75" customHeight="1">
      <c r="A148" s="36">
        <v>135.0</v>
      </c>
      <c r="B148" s="40" t="str">
        <f t="shared" si="21"/>
        <v>Mercury Spill Cleanup St Catharines | Call Now</v>
      </c>
      <c r="C148" s="41" t="str">
        <f t="shared" si="22"/>
        <v>/mercury-spill-cleanup-st-catharines</v>
      </c>
      <c r="D148" s="42" t="s">
        <v>228</v>
      </c>
      <c r="E148" s="43"/>
      <c r="F148" s="64" t="s">
        <v>74</v>
      </c>
      <c r="G148" s="45"/>
      <c r="H148" s="43"/>
      <c r="I148" s="46"/>
      <c r="J148" s="47"/>
      <c r="K148" s="48"/>
      <c r="L148" s="45"/>
      <c r="M148" s="49" t="s">
        <v>184</v>
      </c>
    </row>
    <row r="149" ht="27.0" customHeight="1">
      <c r="A149" s="61" t="s">
        <v>318</v>
      </c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6"/>
    </row>
    <row r="150" ht="36.75" customHeight="1">
      <c r="A150" s="50">
        <v>136.0</v>
      </c>
      <c r="B150" s="51" t="str">
        <f t="shared" ref="B150:B164" si="23">PROPER(D150)&amp;" "&amp;F150&amp;" | Call Now"</f>
        <v>Emergency Spill Response Markham | Call Now</v>
      </c>
      <c r="C150" s="52" t="str">
        <f t="shared" ref="C150:C164" si="24">"/"&amp;SUBSTITUTE(LOWER(TRIM(D150&amp;" "&amp;F150))," ","-")</f>
        <v>/emergency-spill-response-markham</v>
      </c>
      <c r="D150" s="53" t="s">
        <v>43</v>
      </c>
      <c r="E150" s="54"/>
      <c r="F150" s="62" t="s">
        <v>75</v>
      </c>
      <c r="G150" s="55"/>
      <c r="H150" s="54"/>
      <c r="I150" s="56"/>
      <c r="J150" s="57"/>
      <c r="K150" s="58"/>
      <c r="L150" s="55"/>
      <c r="M150" s="59" t="s">
        <v>184</v>
      </c>
    </row>
    <row r="151" ht="36.75" customHeight="1">
      <c r="A151" s="36">
        <v>137.0</v>
      </c>
      <c r="B151" s="40" t="str">
        <f t="shared" si="23"/>
        <v>Chemical Spill Cleanup Markham | Call Now</v>
      </c>
      <c r="C151" s="41" t="str">
        <f t="shared" si="24"/>
        <v>/chemical-spill-cleanup-markham</v>
      </c>
      <c r="D151" s="42" t="s">
        <v>92</v>
      </c>
      <c r="E151" s="43"/>
      <c r="F151" s="62" t="s">
        <v>75</v>
      </c>
      <c r="G151" s="45"/>
      <c r="H151" s="43"/>
      <c r="I151" s="46"/>
      <c r="J151" s="47"/>
      <c r="K151" s="48"/>
      <c r="L151" s="45"/>
      <c r="M151" s="49" t="s">
        <v>184</v>
      </c>
    </row>
    <row r="152" ht="36.75" customHeight="1">
      <c r="A152" s="50">
        <v>138.0</v>
      </c>
      <c r="B152" s="51" t="str">
        <f t="shared" si="23"/>
        <v>Oil Spill Cleanup Markham | Call Now</v>
      </c>
      <c r="C152" s="52" t="str">
        <f t="shared" si="24"/>
        <v>/oil-spill-cleanup-markham</v>
      </c>
      <c r="D152" s="53" t="s">
        <v>186</v>
      </c>
      <c r="E152" s="54"/>
      <c r="F152" s="62" t="s">
        <v>75</v>
      </c>
      <c r="G152" s="55"/>
      <c r="H152" s="54"/>
      <c r="I152" s="56"/>
      <c r="J152" s="57"/>
      <c r="K152" s="58"/>
      <c r="L152" s="55"/>
      <c r="M152" s="59" t="s">
        <v>184</v>
      </c>
    </row>
    <row r="153" ht="36.75" customHeight="1">
      <c r="A153" s="36">
        <v>139.0</v>
      </c>
      <c r="B153" s="40" t="str">
        <f t="shared" si="23"/>
        <v>Hazmat Cleanup Markham | Call Now</v>
      </c>
      <c r="C153" s="41" t="str">
        <f t="shared" si="24"/>
        <v>/hazmat-cleanup-markham</v>
      </c>
      <c r="D153" s="42" t="s">
        <v>76</v>
      </c>
      <c r="E153" s="43"/>
      <c r="F153" s="62" t="s">
        <v>75</v>
      </c>
      <c r="G153" s="45"/>
      <c r="H153" s="43"/>
      <c r="I153" s="46"/>
      <c r="J153" s="47"/>
      <c r="K153" s="48"/>
      <c r="L153" s="45"/>
      <c r="M153" s="49" t="s">
        <v>184</v>
      </c>
    </row>
    <row r="154" ht="36.75" customHeight="1">
      <c r="A154" s="50">
        <v>140.0</v>
      </c>
      <c r="B154" s="51" t="str">
        <f t="shared" si="23"/>
        <v>Soil Remediation Services Markham | Call Now</v>
      </c>
      <c r="C154" s="52" t="str">
        <f t="shared" si="24"/>
        <v>/soil-remediation-services-markham</v>
      </c>
      <c r="D154" s="53" t="s">
        <v>178</v>
      </c>
      <c r="E154" s="54"/>
      <c r="F154" s="62" t="s">
        <v>75</v>
      </c>
      <c r="G154" s="55"/>
      <c r="H154" s="54"/>
      <c r="I154" s="56"/>
      <c r="J154" s="57"/>
      <c r="K154" s="58"/>
      <c r="L154" s="55"/>
      <c r="M154" s="59" t="s">
        <v>184</v>
      </c>
    </row>
    <row r="155" ht="36.75" customHeight="1">
      <c r="A155" s="36">
        <v>141.0</v>
      </c>
      <c r="B155" s="40" t="str">
        <f t="shared" si="23"/>
        <v>Contaminated Soil Removal Markham | Call Now</v>
      </c>
      <c r="C155" s="41" t="str">
        <f t="shared" si="24"/>
        <v>/contaminated-soil-removal-markham</v>
      </c>
      <c r="D155" s="42" t="s">
        <v>181</v>
      </c>
      <c r="E155" s="43"/>
      <c r="F155" s="62" t="s">
        <v>75</v>
      </c>
      <c r="G155" s="45"/>
      <c r="H155" s="43"/>
      <c r="I155" s="46"/>
      <c r="J155" s="47"/>
      <c r="K155" s="48"/>
      <c r="L155" s="45"/>
      <c r="M155" s="49" t="s">
        <v>184</v>
      </c>
    </row>
    <row r="156" ht="36.75" customHeight="1">
      <c r="A156" s="50">
        <v>142.0</v>
      </c>
      <c r="B156" s="51" t="str">
        <f t="shared" si="23"/>
        <v>Hazardous Waste Cleanup Markham | Call Now</v>
      </c>
      <c r="C156" s="52" t="str">
        <f t="shared" si="24"/>
        <v>/hazardous-waste-cleanup-markham</v>
      </c>
      <c r="D156" s="53" t="s">
        <v>83</v>
      </c>
      <c r="E156" s="54"/>
      <c r="F156" s="62" t="s">
        <v>75</v>
      </c>
      <c r="G156" s="55"/>
      <c r="H156" s="54"/>
      <c r="I156" s="56"/>
      <c r="J156" s="57"/>
      <c r="K156" s="58"/>
      <c r="L156" s="55"/>
      <c r="M156" s="59" t="s">
        <v>184</v>
      </c>
    </row>
    <row r="157" ht="36.75" customHeight="1">
      <c r="A157" s="36">
        <v>143.0</v>
      </c>
      <c r="B157" s="40" t="str">
        <f t="shared" si="23"/>
        <v>Industrial Spill Cleanup Markham | Call Now</v>
      </c>
      <c r="C157" s="41" t="str">
        <f t="shared" si="24"/>
        <v>/industrial-spill-cleanup-markham</v>
      </c>
      <c r="D157" s="42" t="s">
        <v>163</v>
      </c>
      <c r="E157" s="43"/>
      <c r="F157" s="62" t="s">
        <v>75</v>
      </c>
      <c r="G157" s="45"/>
      <c r="H157" s="43"/>
      <c r="I157" s="46"/>
      <c r="J157" s="47"/>
      <c r="K157" s="48"/>
      <c r="L157" s="45"/>
      <c r="M157" s="49" t="s">
        <v>184</v>
      </c>
    </row>
    <row r="158" ht="36.75" customHeight="1">
      <c r="A158" s="50">
        <v>144.0</v>
      </c>
      <c r="B158" s="51" t="str">
        <f t="shared" si="23"/>
        <v>Industrial Chemical Spill Cleanup Markham | Call Now</v>
      </c>
      <c r="C158" s="52" t="str">
        <f t="shared" si="24"/>
        <v>/industrial-chemical-spill-cleanup-markham</v>
      </c>
      <c r="D158" s="53" t="s">
        <v>211</v>
      </c>
      <c r="E158" s="54"/>
      <c r="F158" s="62" t="s">
        <v>75</v>
      </c>
      <c r="G158" s="55"/>
      <c r="H158" s="54"/>
      <c r="I158" s="56"/>
      <c r="J158" s="57"/>
      <c r="K158" s="58"/>
      <c r="L158" s="55"/>
      <c r="M158" s="59" t="s">
        <v>184</v>
      </c>
    </row>
    <row r="159" ht="36.75" customHeight="1">
      <c r="A159" s="36">
        <v>145.0</v>
      </c>
      <c r="B159" s="40" t="str">
        <f t="shared" si="23"/>
        <v>Environmental Spill Response Markham | Call Now</v>
      </c>
      <c r="C159" s="41" t="str">
        <f t="shared" si="24"/>
        <v>/environmental-spill-response-markham</v>
      </c>
      <c r="D159" s="42" t="s">
        <v>115</v>
      </c>
      <c r="E159" s="43"/>
      <c r="F159" s="62" t="s">
        <v>75</v>
      </c>
      <c r="G159" s="45"/>
      <c r="H159" s="43"/>
      <c r="I159" s="46"/>
      <c r="J159" s="47"/>
      <c r="K159" s="48"/>
      <c r="L159" s="45"/>
      <c r="M159" s="49" t="s">
        <v>184</v>
      </c>
    </row>
    <row r="160" ht="36.75" customHeight="1">
      <c r="A160" s="50">
        <v>146.0</v>
      </c>
      <c r="B160" s="51" t="str">
        <f t="shared" si="23"/>
        <v>Fuel Spill Cleanup Markham | Call Now</v>
      </c>
      <c r="C160" s="52" t="str">
        <f t="shared" si="24"/>
        <v>/fuel-spill-cleanup-markham</v>
      </c>
      <c r="D160" s="53" t="s">
        <v>224</v>
      </c>
      <c r="E160" s="54"/>
      <c r="F160" s="62" t="s">
        <v>75</v>
      </c>
      <c r="G160" s="55"/>
      <c r="H160" s="54"/>
      <c r="I160" s="56"/>
      <c r="J160" s="57"/>
      <c r="K160" s="58"/>
      <c r="L160" s="55"/>
      <c r="M160" s="59" t="s">
        <v>184</v>
      </c>
    </row>
    <row r="161" ht="36.75" customHeight="1">
      <c r="A161" s="36">
        <v>147.0</v>
      </c>
      <c r="B161" s="40" t="str">
        <f t="shared" si="23"/>
        <v>Gasoline Spill Cleanup Markham | Call Now</v>
      </c>
      <c r="C161" s="41" t="str">
        <f t="shared" si="24"/>
        <v>/gasoline-spill-cleanup-markham</v>
      </c>
      <c r="D161" s="42" t="s">
        <v>188</v>
      </c>
      <c r="E161" s="43"/>
      <c r="F161" s="64" t="s">
        <v>75</v>
      </c>
      <c r="G161" s="45"/>
      <c r="H161" s="43"/>
      <c r="I161" s="46"/>
      <c r="J161" s="47"/>
      <c r="K161" s="48"/>
      <c r="L161" s="45"/>
      <c r="M161" s="49" t="s">
        <v>184</v>
      </c>
    </row>
    <row r="162" ht="36.75" customHeight="1">
      <c r="A162" s="50">
        <v>148.0</v>
      </c>
      <c r="B162" s="51" t="str">
        <f t="shared" si="23"/>
        <v>Diesel Spill Cleanup Markham | Call Now</v>
      </c>
      <c r="C162" s="52" t="str">
        <f t="shared" si="24"/>
        <v>/diesel-spill-cleanup-markham</v>
      </c>
      <c r="D162" s="53" t="s">
        <v>237</v>
      </c>
      <c r="E162" s="54"/>
      <c r="F162" s="64" t="s">
        <v>75</v>
      </c>
      <c r="G162" s="55"/>
      <c r="H162" s="54"/>
      <c r="I162" s="56"/>
      <c r="J162" s="57"/>
      <c r="K162" s="58"/>
      <c r="L162" s="55"/>
      <c r="M162" s="59" t="s">
        <v>184</v>
      </c>
    </row>
    <row r="163" ht="36.75" customHeight="1">
      <c r="A163" s="36">
        <v>149.0</v>
      </c>
      <c r="B163" s="40" t="str">
        <f t="shared" si="23"/>
        <v>Hydraulic Oil Spill Cleanup Markham | Call Now</v>
      </c>
      <c r="C163" s="41" t="str">
        <f t="shared" si="24"/>
        <v>/hydraulic-oil-spill-cleanup-markham</v>
      </c>
      <c r="D163" s="42" t="s">
        <v>205</v>
      </c>
      <c r="E163" s="43"/>
      <c r="F163" s="64" t="s">
        <v>75</v>
      </c>
      <c r="G163" s="45"/>
      <c r="H163" s="43"/>
      <c r="I163" s="46"/>
      <c r="J163" s="47"/>
      <c r="K163" s="48"/>
      <c r="L163" s="45"/>
      <c r="M163" s="49" t="s">
        <v>184</v>
      </c>
    </row>
    <row r="164" ht="36.75" customHeight="1">
      <c r="A164" s="50">
        <v>150.0</v>
      </c>
      <c r="B164" s="51" t="str">
        <f t="shared" si="23"/>
        <v>Mercury Spill Cleanup Markham | Call Now</v>
      </c>
      <c r="C164" s="52" t="str">
        <f t="shared" si="24"/>
        <v>/mercury-spill-cleanup-markham</v>
      </c>
      <c r="D164" s="53" t="s">
        <v>228</v>
      </c>
      <c r="E164" s="54"/>
      <c r="F164" s="64" t="s">
        <v>75</v>
      </c>
      <c r="G164" s="55"/>
      <c r="H164" s="54"/>
      <c r="I164" s="56"/>
      <c r="J164" s="57"/>
      <c r="K164" s="58"/>
      <c r="L164" s="55"/>
      <c r="M164" s="59" t="s">
        <v>184</v>
      </c>
    </row>
    <row r="165" ht="27.0" customHeight="1">
      <c r="A165" s="61" t="s">
        <v>319</v>
      </c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6"/>
    </row>
    <row r="166" ht="36.75" customHeight="1">
      <c r="A166" s="36">
        <v>151.0</v>
      </c>
      <c r="B166" s="40" t="str">
        <f t="shared" ref="B166:B180" si="25">PROPER(D166)&amp;" "&amp;F166&amp;" | Call Now"</f>
        <v>Emergency Spill Response North York | Call Now</v>
      </c>
      <c r="C166" s="41" t="str">
        <f t="shared" ref="C166:C180" si="26">"/"&amp;SUBSTITUTE(LOWER(TRIM(D166&amp;" "&amp;F166))," ","-")</f>
        <v>/emergency-spill-response-north-york</v>
      </c>
      <c r="D166" s="42" t="s">
        <v>43</v>
      </c>
      <c r="E166" s="43"/>
      <c r="F166" s="62" t="s">
        <v>78</v>
      </c>
      <c r="G166" s="45"/>
      <c r="H166" s="43"/>
      <c r="I166" s="46"/>
      <c r="J166" s="47"/>
      <c r="K166" s="48"/>
      <c r="L166" s="45"/>
      <c r="M166" s="49" t="s">
        <v>184</v>
      </c>
    </row>
    <row r="167" ht="36.75" customHeight="1">
      <c r="A167" s="50">
        <v>152.0</v>
      </c>
      <c r="B167" s="51" t="str">
        <f t="shared" si="25"/>
        <v>Chemical Spill Cleanup North York | Call Now</v>
      </c>
      <c r="C167" s="52" t="str">
        <f t="shared" si="26"/>
        <v>/chemical-spill-cleanup-north-york</v>
      </c>
      <c r="D167" s="53" t="s">
        <v>92</v>
      </c>
      <c r="E167" s="54"/>
      <c r="F167" s="62" t="s">
        <v>78</v>
      </c>
      <c r="G167" s="55"/>
      <c r="H167" s="54"/>
      <c r="I167" s="56"/>
      <c r="J167" s="57"/>
      <c r="K167" s="58"/>
      <c r="L167" s="55"/>
      <c r="M167" s="59" t="s">
        <v>184</v>
      </c>
    </row>
    <row r="168" ht="36.75" customHeight="1">
      <c r="A168" s="36">
        <v>153.0</v>
      </c>
      <c r="B168" s="40" t="str">
        <f t="shared" si="25"/>
        <v>Oil Spill Cleanup North York | Call Now</v>
      </c>
      <c r="C168" s="41" t="str">
        <f t="shared" si="26"/>
        <v>/oil-spill-cleanup-north-york</v>
      </c>
      <c r="D168" s="42" t="s">
        <v>186</v>
      </c>
      <c r="E168" s="43"/>
      <c r="F168" s="62" t="s">
        <v>78</v>
      </c>
      <c r="G168" s="45"/>
      <c r="H168" s="43"/>
      <c r="I168" s="46"/>
      <c r="J168" s="47"/>
      <c r="K168" s="48"/>
      <c r="L168" s="45"/>
      <c r="M168" s="49" t="s">
        <v>184</v>
      </c>
    </row>
    <row r="169" ht="36.75" customHeight="1">
      <c r="A169" s="50">
        <v>154.0</v>
      </c>
      <c r="B169" s="51" t="str">
        <f t="shared" si="25"/>
        <v>Hazmat Cleanup North York | Call Now</v>
      </c>
      <c r="C169" s="52" t="str">
        <f t="shared" si="26"/>
        <v>/hazmat-cleanup-north-york</v>
      </c>
      <c r="D169" s="53" t="s">
        <v>76</v>
      </c>
      <c r="E169" s="54"/>
      <c r="F169" s="62" t="s">
        <v>78</v>
      </c>
      <c r="G169" s="55"/>
      <c r="H169" s="54"/>
      <c r="I169" s="56"/>
      <c r="J169" s="57"/>
      <c r="K169" s="58"/>
      <c r="L169" s="55"/>
      <c r="M169" s="59" t="s">
        <v>184</v>
      </c>
    </row>
    <row r="170" ht="36.75" customHeight="1">
      <c r="A170" s="36">
        <v>155.0</v>
      </c>
      <c r="B170" s="40" t="str">
        <f t="shared" si="25"/>
        <v>Soil Remediation Services North York | Call Now</v>
      </c>
      <c r="C170" s="41" t="str">
        <f t="shared" si="26"/>
        <v>/soil-remediation-services-north-york</v>
      </c>
      <c r="D170" s="42" t="s">
        <v>178</v>
      </c>
      <c r="E170" s="43"/>
      <c r="F170" s="62" t="s">
        <v>78</v>
      </c>
      <c r="G170" s="45"/>
      <c r="H170" s="43"/>
      <c r="I170" s="46"/>
      <c r="J170" s="47"/>
      <c r="K170" s="48"/>
      <c r="L170" s="45"/>
      <c r="M170" s="49" t="s">
        <v>184</v>
      </c>
    </row>
    <row r="171" ht="36.75" customHeight="1">
      <c r="A171" s="50">
        <v>156.0</v>
      </c>
      <c r="B171" s="51" t="str">
        <f t="shared" si="25"/>
        <v>Contaminated Soil Removal North York | Call Now</v>
      </c>
      <c r="C171" s="52" t="str">
        <f t="shared" si="26"/>
        <v>/contaminated-soil-removal-north-york</v>
      </c>
      <c r="D171" s="53" t="s">
        <v>181</v>
      </c>
      <c r="E171" s="54"/>
      <c r="F171" s="62" t="s">
        <v>78</v>
      </c>
      <c r="G171" s="55"/>
      <c r="H171" s="54"/>
      <c r="I171" s="56"/>
      <c r="J171" s="57"/>
      <c r="K171" s="58"/>
      <c r="L171" s="55"/>
      <c r="M171" s="59" t="s">
        <v>184</v>
      </c>
    </row>
    <row r="172" ht="36.75" customHeight="1">
      <c r="A172" s="36">
        <v>157.0</v>
      </c>
      <c r="B172" s="40" t="str">
        <f t="shared" si="25"/>
        <v>Hazardous Waste Cleanup North York | Call Now</v>
      </c>
      <c r="C172" s="41" t="str">
        <f t="shared" si="26"/>
        <v>/hazardous-waste-cleanup-north-york</v>
      </c>
      <c r="D172" s="42" t="s">
        <v>83</v>
      </c>
      <c r="E172" s="43"/>
      <c r="F172" s="62" t="s">
        <v>78</v>
      </c>
      <c r="G172" s="45"/>
      <c r="H172" s="43"/>
      <c r="I172" s="46"/>
      <c r="J172" s="47"/>
      <c r="K172" s="48"/>
      <c r="L172" s="45"/>
      <c r="M172" s="49" t="s">
        <v>184</v>
      </c>
    </row>
    <row r="173" ht="36.75" customHeight="1">
      <c r="A173" s="50">
        <v>158.0</v>
      </c>
      <c r="B173" s="51" t="str">
        <f t="shared" si="25"/>
        <v>Industrial Spill Cleanup North York | Call Now</v>
      </c>
      <c r="C173" s="52" t="str">
        <f t="shared" si="26"/>
        <v>/industrial-spill-cleanup-north-york</v>
      </c>
      <c r="D173" s="53" t="s">
        <v>163</v>
      </c>
      <c r="E173" s="54"/>
      <c r="F173" s="62" t="s">
        <v>78</v>
      </c>
      <c r="G173" s="55"/>
      <c r="H173" s="54"/>
      <c r="I173" s="56"/>
      <c r="J173" s="57"/>
      <c r="K173" s="58"/>
      <c r="L173" s="55"/>
      <c r="M173" s="59" t="s">
        <v>184</v>
      </c>
    </row>
    <row r="174" ht="36.75" customHeight="1">
      <c r="A174" s="36">
        <v>159.0</v>
      </c>
      <c r="B174" s="40" t="str">
        <f t="shared" si="25"/>
        <v>Industrial Chemical Spill Cleanup North York | Call Now</v>
      </c>
      <c r="C174" s="41" t="str">
        <f t="shared" si="26"/>
        <v>/industrial-chemical-spill-cleanup-north-york</v>
      </c>
      <c r="D174" s="42" t="s">
        <v>211</v>
      </c>
      <c r="E174" s="43"/>
      <c r="F174" s="62" t="s">
        <v>78</v>
      </c>
      <c r="G174" s="45"/>
      <c r="H174" s="43"/>
      <c r="I174" s="46"/>
      <c r="J174" s="47"/>
      <c r="K174" s="48"/>
      <c r="L174" s="45"/>
      <c r="M174" s="49" t="s">
        <v>184</v>
      </c>
    </row>
    <row r="175" ht="36.75" customHeight="1">
      <c r="A175" s="50">
        <v>160.0</v>
      </c>
      <c r="B175" s="51" t="str">
        <f t="shared" si="25"/>
        <v>Environmental Spill Response North York | Call Now</v>
      </c>
      <c r="C175" s="52" t="str">
        <f t="shared" si="26"/>
        <v>/environmental-spill-response-north-york</v>
      </c>
      <c r="D175" s="53" t="s">
        <v>115</v>
      </c>
      <c r="E175" s="54"/>
      <c r="F175" s="62" t="s">
        <v>78</v>
      </c>
      <c r="G175" s="55"/>
      <c r="H175" s="54"/>
      <c r="I175" s="56"/>
      <c r="J175" s="57"/>
      <c r="K175" s="58"/>
      <c r="L175" s="55"/>
      <c r="M175" s="59" t="s">
        <v>184</v>
      </c>
    </row>
    <row r="176" ht="36.75" customHeight="1">
      <c r="A176" s="36">
        <v>161.0</v>
      </c>
      <c r="B176" s="40" t="str">
        <f t="shared" si="25"/>
        <v>Fuel Spill Cleanup North York | Call Now</v>
      </c>
      <c r="C176" s="41" t="str">
        <f t="shared" si="26"/>
        <v>/fuel-spill-cleanup-north-york</v>
      </c>
      <c r="D176" s="42" t="s">
        <v>224</v>
      </c>
      <c r="E176" s="43"/>
      <c r="F176" s="62" t="s">
        <v>78</v>
      </c>
      <c r="G176" s="45"/>
      <c r="H176" s="43"/>
      <c r="I176" s="46"/>
      <c r="J176" s="47"/>
      <c r="K176" s="48"/>
      <c r="L176" s="45"/>
      <c r="M176" s="49" t="s">
        <v>184</v>
      </c>
    </row>
    <row r="177" ht="36.75" customHeight="1">
      <c r="A177" s="50">
        <v>162.0</v>
      </c>
      <c r="B177" s="51" t="str">
        <f t="shared" si="25"/>
        <v>Gasoline Spill Cleanup North York | Call Now</v>
      </c>
      <c r="C177" s="52" t="str">
        <f t="shared" si="26"/>
        <v>/gasoline-spill-cleanup-north-york</v>
      </c>
      <c r="D177" s="53" t="s">
        <v>188</v>
      </c>
      <c r="E177" s="54"/>
      <c r="F177" s="64" t="s">
        <v>78</v>
      </c>
      <c r="G177" s="55"/>
      <c r="H177" s="54"/>
      <c r="I177" s="56"/>
      <c r="J177" s="57"/>
      <c r="K177" s="58"/>
      <c r="L177" s="55"/>
      <c r="M177" s="59" t="s">
        <v>184</v>
      </c>
    </row>
    <row r="178" ht="36.75" customHeight="1">
      <c r="A178" s="36">
        <v>163.0</v>
      </c>
      <c r="B178" s="40" t="str">
        <f t="shared" si="25"/>
        <v>Diesel Spill Cleanup North York | Call Now</v>
      </c>
      <c r="C178" s="41" t="str">
        <f t="shared" si="26"/>
        <v>/diesel-spill-cleanup-north-york</v>
      </c>
      <c r="D178" s="42" t="s">
        <v>237</v>
      </c>
      <c r="E178" s="43"/>
      <c r="F178" s="64" t="s">
        <v>78</v>
      </c>
      <c r="G178" s="45"/>
      <c r="H178" s="43"/>
      <c r="I178" s="46"/>
      <c r="J178" s="47"/>
      <c r="K178" s="48"/>
      <c r="L178" s="45"/>
      <c r="M178" s="49" t="s">
        <v>184</v>
      </c>
    </row>
    <row r="179" ht="36.75" customHeight="1">
      <c r="A179" s="50">
        <v>164.0</v>
      </c>
      <c r="B179" s="51" t="str">
        <f t="shared" si="25"/>
        <v>Hydraulic Oil Spill Cleanup North York | Call Now</v>
      </c>
      <c r="C179" s="52" t="str">
        <f t="shared" si="26"/>
        <v>/hydraulic-oil-spill-cleanup-north-york</v>
      </c>
      <c r="D179" s="53" t="s">
        <v>205</v>
      </c>
      <c r="E179" s="54"/>
      <c r="F179" s="64" t="s">
        <v>78</v>
      </c>
      <c r="G179" s="55"/>
      <c r="H179" s="54"/>
      <c r="I179" s="56"/>
      <c r="J179" s="57"/>
      <c r="K179" s="58"/>
      <c r="L179" s="55"/>
      <c r="M179" s="59" t="s">
        <v>184</v>
      </c>
    </row>
    <row r="180" ht="36.75" customHeight="1">
      <c r="A180" s="36">
        <v>165.0</v>
      </c>
      <c r="B180" s="40" t="str">
        <f t="shared" si="25"/>
        <v>Mercury Spill Cleanup North York | Call Now</v>
      </c>
      <c r="C180" s="41" t="str">
        <f t="shared" si="26"/>
        <v>/mercury-spill-cleanup-north-york</v>
      </c>
      <c r="D180" s="42" t="s">
        <v>228</v>
      </c>
      <c r="E180" s="43"/>
      <c r="F180" s="64" t="s">
        <v>78</v>
      </c>
      <c r="G180" s="45"/>
      <c r="H180" s="43"/>
      <c r="I180" s="46"/>
      <c r="J180" s="47"/>
      <c r="K180" s="48"/>
      <c r="L180" s="45"/>
      <c r="M180" s="49" t="s">
        <v>184</v>
      </c>
    </row>
    <row r="181" ht="27.0" customHeight="1">
      <c r="A181" s="61" t="s">
        <v>320</v>
      </c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6"/>
    </row>
    <row r="182" ht="36.75" customHeight="1">
      <c r="A182" s="50">
        <v>166.0</v>
      </c>
      <c r="B182" s="51" t="str">
        <f t="shared" ref="B182:B196" si="27">PROPER(D182)&amp;" "&amp;F182&amp;" | Call Now"</f>
        <v>Emergency Spill Response London Ontario | Call Now</v>
      </c>
      <c r="C182" s="52" t="str">
        <f t="shared" ref="C182:C196" si="28">"/"&amp;SUBSTITUTE(LOWER(TRIM(D182&amp;" "&amp;F182))," ","-")</f>
        <v>/emergency-spill-response-london-ontario</v>
      </c>
      <c r="D182" s="53" t="s">
        <v>43</v>
      </c>
      <c r="E182" s="54"/>
      <c r="F182" s="62" t="s">
        <v>80</v>
      </c>
      <c r="G182" s="55"/>
      <c r="H182" s="54"/>
      <c r="I182" s="56"/>
      <c r="J182" s="57"/>
      <c r="K182" s="58"/>
      <c r="L182" s="55"/>
      <c r="M182" s="59" t="s">
        <v>184</v>
      </c>
    </row>
    <row r="183" ht="36.75" customHeight="1">
      <c r="A183" s="36">
        <v>167.0</v>
      </c>
      <c r="B183" s="40" t="str">
        <f t="shared" si="27"/>
        <v>Chemical Spill Cleanup London Ontario | Call Now</v>
      </c>
      <c r="C183" s="41" t="str">
        <f t="shared" si="28"/>
        <v>/chemical-spill-cleanup-london-ontario</v>
      </c>
      <c r="D183" s="42" t="s">
        <v>92</v>
      </c>
      <c r="E183" s="43"/>
      <c r="F183" s="62" t="s">
        <v>80</v>
      </c>
      <c r="G183" s="45"/>
      <c r="H183" s="43"/>
      <c r="I183" s="46"/>
      <c r="J183" s="47"/>
      <c r="K183" s="48"/>
      <c r="L183" s="45"/>
      <c r="M183" s="49" t="s">
        <v>184</v>
      </c>
    </row>
    <row r="184" ht="36.75" customHeight="1">
      <c r="A184" s="50">
        <v>168.0</v>
      </c>
      <c r="B184" s="51" t="str">
        <f t="shared" si="27"/>
        <v>Oil Spill Cleanup London Ontario | Call Now</v>
      </c>
      <c r="C184" s="52" t="str">
        <f t="shared" si="28"/>
        <v>/oil-spill-cleanup-london-ontario</v>
      </c>
      <c r="D184" s="53" t="s">
        <v>186</v>
      </c>
      <c r="E184" s="54"/>
      <c r="F184" s="62" t="s">
        <v>80</v>
      </c>
      <c r="G184" s="55"/>
      <c r="H184" s="54"/>
      <c r="I184" s="56"/>
      <c r="J184" s="57"/>
      <c r="K184" s="58"/>
      <c r="L184" s="55"/>
      <c r="M184" s="59" t="s">
        <v>184</v>
      </c>
    </row>
    <row r="185" ht="36.75" customHeight="1">
      <c r="A185" s="36">
        <v>169.0</v>
      </c>
      <c r="B185" s="40" t="str">
        <f t="shared" si="27"/>
        <v>Hazmat Cleanup London Ontario | Call Now</v>
      </c>
      <c r="C185" s="41" t="str">
        <f t="shared" si="28"/>
        <v>/hazmat-cleanup-london-ontario</v>
      </c>
      <c r="D185" s="42" t="s">
        <v>76</v>
      </c>
      <c r="E185" s="43"/>
      <c r="F185" s="62" t="s">
        <v>80</v>
      </c>
      <c r="G185" s="45"/>
      <c r="H185" s="43"/>
      <c r="I185" s="46"/>
      <c r="J185" s="47"/>
      <c r="K185" s="48"/>
      <c r="L185" s="45"/>
      <c r="M185" s="49" t="s">
        <v>184</v>
      </c>
    </row>
    <row r="186" ht="36.75" customHeight="1">
      <c r="A186" s="50">
        <v>170.0</v>
      </c>
      <c r="B186" s="51" t="str">
        <f t="shared" si="27"/>
        <v>Soil Remediation Services London Ontario | Call Now</v>
      </c>
      <c r="C186" s="52" t="str">
        <f t="shared" si="28"/>
        <v>/soil-remediation-services-london-ontario</v>
      </c>
      <c r="D186" s="53" t="s">
        <v>178</v>
      </c>
      <c r="E186" s="54"/>
      <c r="F186" s="62" t="s">
        <v>80</v>
      </c>
      <c r="G186" s="55"/>
      <c r="H186" s="54"/>
      <c r="I186" s="56"/>
      <c r="J186" s="57"/>
      <c r="K186" s="58"/>
      <c r="L186" s="55"/>
      <c r="M186" s="59" t="s">
        <v>184</v>
      </c>
    </row>
    <row r="187" ht="36.75" customHeight="1">
      <c r="A187" s="36">
        <v>171.0</v>
      </c>
      <c r="B187" s="40" t="str">
        <f t="shared" si="27"/>
        <v>Contaminated Soil Removal London Ontario | Call Now</v>
      </c>
      <c r="C187" s="41" t="str">
        <f t="shared" si="28"/>
        <v>/contaminated-soil-removal-london-ontario</v>
      </c>
      <c r="D187" s="42" t="s">
        <v>181</v>
      </c>
      <c r="E187" s="43"/>
      <c r="F187" s="62" t="s">
        <v>80</v>
      </c>
      <c r="G187" s="45"/>
      <c r="H187" s="43"/>
      <c r="I187" s="46"/>
      <c r="J187" s="47"/>
      <c r="K187" s="48"/>
      <c r="L187" s="45"/>
      <c r="M187" s="49" t="s">
        <v>184</v>
      </c>
    </row>
    <row r="188" ht="36.75" customHeight="1">
      <c r="A188" s="50">
        <v>172.0</v>
      </c>
      <c r="B188" s="51" t="str">
        <f t="shared" si="27"/>
        <v>Hazardous Waste Cleanup London Ontario | Call Now</v>
      </c>
      <c r="C188" s="52" t="str">
        <f t="shared" si="28"/>
        <v>/hazardous-waste-cleanup-london-ontario</v>
      </c>
      <c r="D188" s="53" t="s">
        <v>83</v>
      </c>
      <c r="E188" s="54"/>
      <c r="F188" s="62" t="s">
        <v>80</v>
      </c>
      <c r="G188" s="55"/>
      <c r="H188" s="54"/>
      <c r="I188" s="56"/>
      <c r="J188" s="57"/>
      <c r="K188" s="58"/>
      <c r="L188" s="55"/>
      <c r="M188" s="59" t="s">
        <v>184</v>
      </c>
    </row>
    <row r="189" ht="36.75" customHeight="1">
      <c r="A189" s="36">
        <v>173.0</v>
      </c>
      <c r="B189" s="40" t="str">
        <f t="shared" si="27"/>
        <v>Industrial Spill Cleanup London Ontario | Call Now</v>
      </c>
      <c r="C189" s="41" t="str">
        <f t="shared" si="28"/>
        <v>/industrial-spill-cleanup-london-ontario</v>
      </c>
      <c r="D189" s="42" t="s">
        <v>163</v>
      </c>
      <c r="E189" s="43"/>
      <c r="F189" s="62" t="s">
        <v>80</v>
      </c>
      <c r="G189" s="45"/>
      <c r="H189" s="43"/>
      <c r="I189" s="46"/>
      <c r="J189" s="47"/>
      <c r="K189" s="48"/>
      <c r="L189" s="45"/>
      <c r="M189" s="49" t="s">
        <v>184</v>
      </c>
    </row>
    <row r="190" ht="36.75" customHeight="1">
      <c r="A190" s="50">
        <v>174.0</v>
      </c>
      <c r="B190" s="51" t="str">
        <f t="shared" si="27"/>
        <v>Industrial Chemical Spill Cleanup London Ontario | Call Now</v>
      </c>
      <c r="C190" s="52" t="str">
        <f t="shared" si="28"/>
        <v>/industrial-chemical-spill-cleanup-london-ontario</v>
      </c>
      <c r="D190" s="53" t="s">
        <v>211</v>
      </c>
      <c r="E190" s="54"/>
      <c r="F190" s="62" t="s">
        <v>80</v>
      </c>
      <c r="G190" s="55"/>
      <c r="H190" s="54"/>
      <c r="I190" s="56"/>
      <c r="J190" s="57"/>
      <c r="K190" s="58"/>
      <c r="L190" s="55"/>
      <c r="M190" s="59" t="s">
        <v>184</v>
      </c>
    </row>
    <row r="191" ht="36.75" customHeight="1">
      <c r="A191" s="36">
        <v>175.0</v>
      </c>
      <c r="B191" s="40" t="str">
        <f t="shared" si="27"/>
        <v>Environmental Spill Response London Ontario | Call Now</v>
      </c>
      <c r="C191" s="41" t="str">
        <f t="shared" si="28"/>
        <v>/environmental-spill-response-london-ontario</v>
      </c>
      <c r="D191" s="42" t="s">
        <v>115</v>
      </c>
      <c r="E191" s="43"/>
      <c r="F191" s="62" t="s">
        <v>80</v>
      </c>
      <c r="G191" s="45"/>
      <c r="H191" s="43"/>
      <c r="I191" s="46"/>
      <c r="J191" s="47"/>
      <c r="K191" s="48"/>
      <c r="L191" s="45"/>
      <c r="M191" s="49" t="s">
        <v>184</v>
      </c>
    </row>
    <row r="192" ht="36.75" customHeight="1">
      <c r="A192" s="50">
        <v>176.0</v>
      </c>
      <c r="B192" s="51" t="str">
        <f t="shared" si="27"/>
        <v>Fuel Spill Cleanup London Ontario | Call Now</v>
      </c>
      <c r="C192" s="52" t="str">
        <f t="shared" si="28"/>
        <v>/fuel-spill-cleanup-london-ontario</v>
      </c>
      <c r="D192" s="53" t="s">
        <v>224</v>
      </c>
      <c r="E192" s="54"/>
      <c r="F192" s="62" t="s">
        <v>80</v>
      </c>
      <c r="G192" s="55"/>
      <c r="H192" s="54"/>
      <c r="I192" s="56"/>
      <c r="J192" s="57"/>
      <c r="K192" s="58"/>
      <c r="L192" s="55"/>
      <c r="M192" s="59" t="s">
        <v>184</v>
      </c>
    </row>
    <row r="193" ht="36.75" customHeight="1">
      <c r="A193" s="36">
        <v>177.0</v>
      </c>
      <c r="B193" s="40" t="str">
        <f t="shared" si="27"/>
        <v>Gasoline Spill Cleanup London Ontario | Call Now</v>
      </c>
      <c r="C193" s="41" t="str">
        <f t="shared" si="28"/>
        <v>/gasoline-spill-cleanup-london-ontario</v>
      </c>
      <c r="D193" s="42" t="s">
        <v>188</v>
      </c>
      <c r="E193" s="43"/>
      <c r="F193" s="64" t="s">
        <v>80</v>
      </c>
      <c r="G193" s="45"/>
      <c r="H193" s="43"/>
      <c r="I193" s="46"/>
      <c r="J193" s="47"/>
      <c r="K193" s="48"/>
      <c r="L193" s="45"/>
      <c r="M193" s="49" t="s">
        <v>184</v>
      </c>
    </row>
    <row r="194" ht="36.75" customHeight="1">
      <c r="A194" s="50">
        <v>178.0</v>
      </c>
      <c r="B194" s="51" t="str">
        <f t="shared" si="27"/>
        <v>Diesel Spill Cleanup London Ontario | Call Now</v>
      </c>
      <c r="C194" s="52" t="str">
        <f t="shared" si="28"/>
        <v>/diesel-spill-cleanup-london-ontario</v>
      </c>
      <c r="D194" s="53" t="s">
        <v>237</v>
      </c>
      <c r="E194" s="54"/>
      <c r="F194" s="64" t="s">
        <v>80</v>
      </c>
      <c r="G194" s="55"/>
      <c r="H194" s="54"/>
      <c r="I194" s="56"/>
      <c r="J194" s="57"/>
      <c r="K194" s="58"/>
      <c r="L194" s="55"/>
      <c r="M194" s="59" t="s">
        <v>184</v>
      </c>
    </row>
    <row r="195" ht="36.75" customHeight="1">
      <c r="A195" s="36">
        <v>179.0</v>
      </c>
      <c r="B195" s="40" t="str">
        <f t="shared" si="27"/>
        <v>Hydraulic Oil Spill Cleanup London Ontario | Call Now</v>
      </c>
      <c r="C195" s="41" t="str">
        <f t="shared" si="28"/>
        <v>/hydraulic-oil-spill-cleanup-london-ontario</v>
      </c>
      <c r="D195" s="42" t="s">
        <v>205</v>
      </c>
      <c r="E195" s="43"/>
      <c r="F195" s="64" t="s">
        <v>80</v>
      </c>
      <c r="G195" s="45"/>
      <c r="H195" s="43"/>
      <c r="I195" s="46"/>
      <c r="J195" s="47"/>
      <c r="K195" s="48"/>
      <c r="L195" s="45"/>
      <c r="M195" s="49" t="s">
        <v>184</v>
      </c>
    </row>
    <row r="196" ht="36.75" customHeight="1">
      <c r="A196" s="50">
        <v>180.0</v>
      </c>
      <c r="B196" s="51" t="str">
        <f t="shared" si="27"/>
        <v>Mercury Spill Cleanup London Ontario | Call Now</v>
      </c>
      <c r="C196" s="52" t="str">
        <f t="shared" si="28"/>
        <v>/mercury-spill-cleanup-london-ontario</v>
      </c>
      <c r="D196" s="53" t="s">
        <v>228</v>
      </c>
      <c r="E196" s="54"/>
      <c r="F196" s="64" t="s">
        <v>80</v>
      </c>
      <c r="G196" s="55"/>
      <c r="H196" s="54"/>
      <c r="I196" s="56"/>
      <c r="J196" s="57"/>
      <c r="K196" s="58"/>
      <c r="L196" s="55"/>
      <c r="M196" s="59" t="s">
        <v>184</v>
      </c>
    </row>
    <row r="197" ht="27.0" customHeight="1">
      <c r="A197" s="61" t="s">
        <v>321</v>
      </c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6"/>
    </row>
    <row r="198" ht="36.75" customHeight="1">
      <c r="A198" s="36">
        <v>181.0</v>
      </c>
      <c r="B198" s="40" t="str">
        <f t="shared" ref="B198:B212" si="29">PROPER(D198)&amp;" "&amp;F198&amp;" | Call Now"</f>
        <v>Emergency Spill Response Surrey BC | Call Now</v>
      </c>
      <c r="C198" s="41" t="str">
        <f t="shared" ref="C198:C212" si="30">"/"&amp;SUBSTITUTE(LOWER(TRIM(D198&amp;" "&amp;F198))," ","-")</f>
        <v>/emergency-spill-response-surrey-bc</v>
      </c>
      <c r="D198" s="42" t="s">
        <v>43</v>
      </c>
      <c r="E198" s="43"/>
      <c r="F198" s="62" t="s">
        <v>81</v>
      </c>
      <c r="G198" s="45"/>
      <c r="H198" s="43"/>
      <c r="I198" s="46"/>
      <c r="J198" s="47"/>
      <c r="K198" s="48"/>
      <c r="L198" s="45"/>
      <c r="M198" s="49" t="s">
        <v>184</v>
      </c>
    </row>
    <row r="199" ht="36.75" customHeight="1">
      <c r="A199" s="50">
        <v>182.0</v>
      </c>
      <c r="B199" s="51" t="str">
        <f t="shared" si="29"/>
        <v>Chemical Spill Cleanup Surrey BC | Call Now</v>
      </c>
      <c r="C199" s="52" t="str">
        <f t="shared" si="30"/>
        <v>/chemical-spill-cleanup-surrey-bc</v>
      </c>
      <c r="D199" s="53" t="s">
        <v>92</v>
      </c>
      <c r="E199" s="54"/>
      <c r="F199" s="62" t="s">
        <v>81</v>
      </c>
      <c r="G199" s="55"/>
      <c r="H199" s="54"/>
      <c r="I199" s="56"/>
      <c r="J199" s="57"/>
      <c r="K199" s="58"/>
      <c r="L199" s="55"/>
      <c r="M199" s="59" t="s">
        <v>184</v>
      </c>
    </row>
    <row r="200" ht="36.75" customHeight="1">
      <c r="A200" s="36">
        <v>183.0</v>
      </c>
      <c r="B200" s="40" t="str">
        <f t="shared" si="29"/>
        <v>Oil Spill Cleanup Surrey BC | Call Now</v>
      </c>
      <c r="C200" s="41" t="str">
        <f t="shared" si="30"/>
        <v>/oil-spill-cleanup-surrey-bc</v>
      </c>
      <c r="D200" s="42" t="s">
        <v>186</v>
      </c>
      <c r="E200" s="43"/>
      <c r="F200" s="62" t="s">
        <v>81</v>
      </c>
      <c r="G200" s="45"/>
      <c r="H200" s="43"/>
      <c r="I200" s="46"/>
      <c r="J200" s="47"/>
      <c r="K200" s="48"/>
      <c r="L200" s="45"/>
      <c r="M200" s="49" t="s">
        <v>184</v>
      </c>
    </row>
    <row r="201" ht="36.75" customHeight="1">
      <c r="A201" s="50">
        <v>184.0</v>
      </c>
      <c r="B201" s="51" t="str">
        <f t="shared" si="29"/>
        <v>Hazmat Cleanup Surrey BC | Call Now</v>
      </c>
      <c r="C201" s="52" t="str">
        <f t="shared" si="30"/>
        <v>/hazmat-cleanup-surrey-bc</v>
      </c>
      <c r="D201" s="53" t="s">
        <v>76</v>
      </c>
      <c r="E201" s="54"/>
      <c r="F201" s="62" t="s">
        <v>81</v>
      </c>
      <c r="G201" s="55"/>
      <c r="H201" s="54"/>
      <c r="I201" s="56"/>
      <c r="J201" s="57"/>
      <c r="K201" s="58"/>
      <c r="L201" s="55"/>
      <c r="M201" s="59" t="s">
        <v>184</v>
      </c>
    </row>
    <row r="202" ht="36.75" customHeight="1">
      <c r="A202" s="36">
        <v>185.0</v>
      </c>
      <c r="B202" s="40" t="str">
        <f t="shared" si="29"/>
        <v>Soil Remediation Services Surrey BC | Call Now</v>
      </c>
      <c r="C202" s="41" t="str">
        <f t="shared" si="30"/>
        <v>/soil-remediation-services-surrey-bc</v>
      </c>
      <c r="D202" s="42" t="s">
        <v>178</v>
      </c>
      <c r="E202" s="43"/>
      <c r="F202" s="62" t="s">
        <v>81</v>
      </c>
      <c r="G202" s="45"/>
      <c r="H202" s="43"/>
      <c r="I202" s="46"/>
      <c r="J202" s="47"/>
      <c r="K202" s="48"/>
      <c r="L202" s="45"/>
      <c r="M202" s="49" t="s">
        <v>184</v>
      </c>
    </row>
    <row r="203" ht="36.75" customHeight="1">
      <c r="A203" s="50">
        <v>186.0</v>
      </c>
      <c r="B203" s="51" t="str">
        <f t="shared" si="29"/>
        <v>Contaminated Soil Removal Surrey BC | Call Now</v>
      </c>
      <c r="C203" s="52" t="str">
        <f t="shared" si="30"/>
        <v>/contaminated-soil-removal-surrey-bc</v>
      </c>
      <c r="D203" s="53" t="s">
        <v>181</v>
      </c>
      <c r="E203" s="54"/>
      <c r="F203" s="62" t="s">
        <v>81</v>
      </c>
      <c r="G203" s="55"/>
      <c r="H203" s="54"/>
      <c r="I203" s="56"/>
      <c r="J203" s="57"/>
      <c r="K203" s="58"/>
      <c r="L203" s="55"/>
      <c r="M203" s="59" t="s">
        <v>184</v>
      </c>
    </row>
    <row r="204" ht="36.75" customHeight="1">
      <c r="A204" s="36">
        <v>187.0</v>
      </c>
      <c r="B204" s="40" t="str">
        <f t="shared" si="29"/>
        <v>Hazardous Waste Cleanup Surrey BC | Call Now</v>
      </c>
      <c r="C204" s="41" t="str">
        <f t="shared" si="30"/>
        <v>/hazardous-waste-cleanup-surrey-bc</v>
      </c>
      <c r="D204" s="42" t="s">
        <v>83</v>
      </c>
      <c r="E204" s="43"/>
      <c r="F204" s="62" t="s">
        <v>81</v>
      </c>
      <c r="G204" s="45"/>
      <c r="H204" s="43"/>
      <c r="I204" s="46"/>
      <c r="J204" s="47"/>
      <c r="K204" s="48"/>
      <c r="L204" s="45"/>
      <c r="M204" s="49" t="s">
        <v>184</v>
      </c>
    </row>
    <row r="205" ht="36.75" customHeight="1">
      <c r="A205" s="50">
        <v>188.0</v>
      </c>
      <c r="B205" s="51" t="str">
        <f t="shared" si="29"/>
        <v>Industrial Spill Cleanup Surrey BC | Call Now</v>
      </c>
      <c r="C205" s="52" t="str">
        <f t="shared" si="30"/>
        <v>/industrial-spill-cleanup-surrey-bc</v>
      </c>
      <c r="D205" s="53" t="s">
        <v>163</v>
      </c>
      <c r="E205" s="54"/>
      <c r="F205" s="62" t="s">
        <v>81</v>
      </c>
      <c r="G205" s="55"/>
      <c r="H205" s="54"/>
      <c r="I205" s="56"/>
      <c r="J205" s="57"/>
      <c r="K205" s="58"/>
      <c r="L205" s="55"/>
      <c r="M205" s="59" t="s">
        <v>184</v>
      </c>
    </row>
    <row r="206" ht="36.75" customHeight="1">
      <c r="A206" s="36">
        <v>189.0</v>
      </c>
      <c r="B206" s="40" t="str">
        <f t="shared" si="29"/>
        <v>Industrial Chemical Spill Cleanup Surrey BC | Call Now</v>
      </c>
      <c r="C206" s="41" t="str">
        <f t="shared" si="30"/>
        <v>/industrial-chemical-spill-cleanup-surrey-bc</v>
      </c>
      <c r="D206" s="42" t="s">
        <v>211</v>
      </c>
      <c r="E206" s="43"/>
      <c r="F206" s="62" t="s">
        <v>81</v>
      </c>
      <c r="G206" s="45"/>
      <c r="H206" s="43"/>
      <c r="I206" s="46"/>
      <c r="J206" s="47"/>
      <c r="K206" s="48"/>
      <c r="L206" s="45"/>
      <c r="M206" s="49" t="s">
        <v>184</v>
      </c>
    </row>
    <row r="207" ht="36.75" customHeight="1">
      <c r="A207" s="50">
        <v>190.0</v>
      </c>
      <c r="B207" s="51" t="str">
        <f t="shared" si="29"/>
        <v>Environmental Spill Response Surrey BC | Call Now</v>
      </c>
      <c r="C207" s="52" t="str">
        <f t="shared" si="30"/>
        <v>/environmental-spill-response-surrey-bc</v>
      </c>
      <c r="D207" s="53" t="s">
        <v>115</v>
      </c>
      <c r="E207" s="54"/>
      <c r="F207" s="62" t="s">
        <v>81</v>
      </c>
      <c r="G207" s="55"/>
      <c r="H207" s="54"/>
      <c r="I207" s="56"/>
      <c r="J207" s="57"/>
      <c r="K207" s="58"/>
      <c r="L207" s="55"/>
      <c r="M207" s="59" t="s">
        <v>184</v>
      </c>
    </row>
    <row r="208" ht="36.75" customHeight="1">
      <c r="A208" s="36">
        <v>191.0</v>
      </c>
      <c r="B208" s="40" t="str">
        <f t="shared" si="29"/>
        <v>Fuel Spill Cleanup Surrey BC | Call Now</v>
      </c>
      <c r="C208" s="41" t="str">
        <f t="shared" si="30"/>
        <v>/fuel-spill-cleanup-surrey-bc</v>
      </c>
      <c r="D208" s="42" t="s">
        <v>224</v>
      </c>
      <c r="E208" s="43"/>
      <c r="F208" s="62" t="s">
        <v>81</v>
      </c>
      <c r="G208" s="45"/>
      <c r="H208" s="43"/>
      <c r="I208" s="46"/>
      <c r="J208" s="47"/>
      <c r="K208" s="48"/>
      <c r="L208" s="45"/>
      <c r="M208" s="49" t="s">
        <v>184</v>
      </c>
    </row>
    <row r="209" ht="36.75" customHeight="1">
      <c r="A209" s="50">
        <v>192.0</v>
      </c>
      <c r="B209" s="51" t="str">
        <f t="shared" si="29"/>
        <v>Gasoline Spill Cleanup Surrey BC | Call Now</v>
      </c>
      <c r="C209" s="52" t="str">
        <f t="shared" si="30"/>
        <v>/gasoline-spill-cleanup-surrey-bc</v>
      </c>
      <c r="D209" s="53" t="s">
        <v>188</v>
      </c>
      <c r="E209" s="54"/>
      <c r="F209" s="64" t="s">
        <v>81</v>
      </c>
      <c r="G209" s="55"/>
      <c r="H209" s="54"/>
      <c r="I209" s="56"/>
      <c r="J209" s="57"/>
      <c r="K209" s="58"/>
      <c r="L209" s="55"/>
      <c r="M209" s="59" t="s">
        <v>184</v>
      </c>
    </row>
    <row r="210" ht="36.75" customHeight="1">
      <c r="A210" s="36">
        <v>193.0</v>
      </c>
      <c r="B210" s="40" t="str">
        <f t="shared" si="29"/>
        <v>Diesel Spill Cleanup Surrey BC | Call Now</v>
      </c>
      <c r="C210" s="41" t="str">
        <f t="shared" si="30"/>
        <v>/diesel-spill-cleanup-surrey-bc</v>
      </c>
      <c r="D210" s="42" t="s">
        <v>237</v>
      </c>
      <c r="E210" s="43"/>
      <c r="F210" s="64" t="s">
        <v>81</v>
      </c>
      <c r="G210" s="45"/>
      <c r="H210" s="43"/>
      <c r="I210" s="46"/>
      <c r="J210" s="47"/>
      <c r="K210" s="48"/>
      <c r="L210" s="45"/>
      <c r="M210" s="49" t="s">
        <v>184</v>
      </c>
    </row>
    <row r="211" ht="36.75" customHeight="1">
      <c r="A211" s="50">
        <v>194.0</v>
      </c>
      <c r="B211" s="51" t="str">
        <f t="shared" si="29"/>
        <v>Hydraulic Oil Spill Cleanup Surrey BC | Call Now</v>
      </c>
      <c r="C211" s="52" t="str">
        <f t="shared" si="30"/>
        <v>/hydraulic-oil-spill-cleanup-surrey-bc</v>
      </c>
      <c r="D211" s="53" t="s">
        <v>205</v>
      </c>
      <c r="E211" s="54"/>
      <c r="F211" s="64" t="s">
        <v>81</v>
      </c>
      <c r="G211" s="55"/>
      <c r="H211" s="54"/>
      <c r="I211" s="56"/>
      <c r="J211" s="57"/>
      <c r="K211" s="58"/>
      <c r="L211" s="55"/>
      <c r="M211" s="59" t="s">
        <v>184</v>
      </c>
    </row>
    <row r="212" ht="36.75" customHeight="1">
      <c r="A212" s="36">
        <v>195.0</v>
      </c>
      <c r="B212" s="40" t="str">
        <f t="shared" si="29"/>
        <v>Mercury Spill Cleanup Surrey BC | Call Now</v>
      </c>
      <c r="C212" s="41" t="str">
        <f t="shared" si="30"/>
        <v>/mercury-spill-cleanup-surrey-bc</v>
      </c>
      <c r="D212" s="42" t="s">
        <v>228</v>
      </c>
      <c r="E212" s="43"/>
      <c r="F212" s="64" t="s">
        <v>81</v>
      </c>
      <c r="G212" s="45"/>
      <c r="H212" s="43"/>
      <c r="I212" s="46"/>
      <c r="J212" s="47"/>
      <c r="K212" s="48"/>
      <c r="L212" s="45"/>
      <c r="M212" s="49" t="s">
        <v>184</v>
      </c>
    </row>
    <row r="213" ht="27.0" customHeight="1">
      <c r="A213" s="61" t="s">
        <v>322</v>
      </c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6"/>
    </row>
    <row r="214" ht="36.75" customHeight="1">
      <c r="A214" s="50">
        <v>196.0</v>
      </c>
      <c r="B214" s="51" t="str">
        <f t="shared" ref="B214:B228" si="31">PROPER(D214)&amp;" "&amp;F214&amp;" | Call Now"</f>
        <v>Emergency Spill Response Mississauga | Call Now</v>
      </c>
      <c r="C214" s="52" t="str">
        <f t="shared" ref="C214:C228" si="32">"/"&amp;SUBSTITUTE(LOWER(TRIM(D214&amp;" "&amp;F214))," ","-")</f>
        <v>/emergency-spill-response-mississauga</v>
      </c>
      <c r="D214" s="53" t="s">
        <v>43</v>
      </c>
      <c r="E214" s="54"/>
      <c r="F214" s="62" t="s">
        <v>85</v>
      </c>
      <c r="G214" s="55"/>
      <c r="H214" s="54"/>
      <c r="I214" s="56"/>
      <c r="J214" s="57"/>
      <c r="K214" s="58"/>
      <c r="L214" s="55"/>
      <c r="M214" s="59" t="s">
        <v>184</v>
      </c>
    </row>
    <row r="215" ht="36.75" customHeight="1">
      <c r="A215" s="36">
        <v>197.0</v>
      </c>
      <c r="B215" s="40" t="str">
        <f t="shared" si="31"/>
        <v>Chemical Spill Cleanup Mississauga | Call Now</v>
      </c>
      <c r="C215" s="41" t="str">
        <f t="shared" si="32"/>
        <v>/chemical-spill-cleanup-mississauga</v>
      </c>
      <c r="D215" s="42" t="s">
        <v>92</v>
      </c>
      <c r="E215" s="43"/>
      <c r="F215" s="62" t="s">
        <v>85</v>
      </c>
      <c r="G215" s="45"/>
      <c r="H215" s="43"/>
      <c r="I215" s="46"/>
      <c r="J215" s="47"/>
      <c r="K215" s="48"/>
      <c r="L215" s="45"/>
      <c r="M215" s="49" t="s">
        <v>184</v>
      </c>
    </row>
    <row r="216" ht="36.75" customHeight="1">
      <c r="A216" s="50">
        <v>198.0</v>
      </c>
      <c r="B216" s="51" t="str">
        <f t="shared" si="31"/>
        <v>Oil Spill Cleanup Mississauga | Call Now</v>
      </c>
      <c r="C216" s="52" t="str">
        <f t="shared" si="32"/>
        <v>/oil-spill-cleanup-mississauga</v>
      </c>
      <c r="D216" s="53" t="s">
        <v>186</v>
      </c>
      <c r="E216" s="54"/>
      <c r="F216" s="62" t="s">
        <v>85</v>
      </c>
      <c r="G216" s="55"/>
      <c r="H216" s="54"/>
      <c r="I216" s="56"/>
      <c r="J216" s="57"/>
      <c r="K216" s="58"/>
      <c r="L216" s="55"/>
      <c r="M216" s="59" t="s">
        <v>184</v>
      </c>
    </row>
    <row r="217" ht="36.75" customHeight="1">
      <c r="A217" s="36">
        <v>199.0</v>
      </c>
      <c r="B217" s="40" t="str">
        <f t="shared" si="31"/>
        <v>Hazmat Cleanup Mississauga | Call Now</v>
      </c>
      <c r="C217" s="41" t="str">
        <f t="shared" si="32"/>
        <v>/hazmat-cleanup-mississauga</v>
      </c>
      <c r="D217" s="42" t="s">
        <v>76</v>
      </c>
      <c r="E217" s="43"/>
      <c r="F217" s="62" t="s">
        <v>85</v>
      </c>
      <c r="G217" s="45"/>
      <c r="H217" s="43"/>
      <c r="I217" s="46"/>
      <c r="J217" s="47"/>
      <c r="K217" s="48"/>
      <c r="L217" s="45"/>
      <c r="M217" s="49" t="s">
        <v>184</v>
      </c>
    </row>
    <row r="218" ht="36.75" customHeight="1">
      <c r="A218" s="50">
        <v>200.0</v>
      </c>
      <c r="B218" s="51" t="str">
        <f t="shared" si="31"/>
        <v>Soil Remediation Services Mississauga | Call Now</v>
      </c>
      <c r="C218" s="52" t="str">
        <f t="shared" si="32"/>
        <v>/soil-remediation-services-mississauga</v>
      </c>
      <c r="D218" s="53" t="s">
        <v>178</v>
      </c>
      <c r="E218" s="54"/>
      <c r="F218" s="62" t="s">
        <v>85</v>
      </c>
      <c r="G218" s="55"/>
      <c r="H218" s="54"/>
      <c r="I218" s="56"/>
      <c r="J218" s="57"/>
      <c r="K218" s="58"/>
      <c r="L218" s="55"/>
      <c r="M218" s="59" t="s">
        <v>184</v>
      </c>
    </row>
    <row r="219" ht="36.75" customHeight="1">
      <c r="A219" s="36">
        <v>201.0</v>
      </c>
      <c r="B219" s="40" t="str">
        <f t="shared" si="31"/>
        <v>Contaminated Soil Removal Mississauga | Call Now</v>
      </c>
      <c r="C219" s="41" t="str">
        <f t="shared" si="32"/>
        <v>/contaminated-soil-removal-mississauga</v>
      </c>
      <c r="D219" s="42" t="s">
        <v>181</v>
      </c>
      <c r="E219" s="43"/>
      <c r="F219" s="62" t="s">
        <v>85</v>
      </c>
      <c r="G219" s="45"/>
      <c r="H219" s="43"/>
      <c r="I219" s="46"/>
      <c r="J219" s="47"/>
      <c r="K219" s="48"/>
      <c r="L219" s="45"/>
      <c r="M219" s="49" t="s">
        <v>184</v>
      </c>
    </row>
    <row r="220" ht="36.75" customHeight="1">
      <c r="A220" s="50">
        <v>202.0</v>
      </c>
      <c r="B220" s="51" t="str">
        <f t="shared" si="31"/>
        <v>Hazardous Waste Cleanup Mississauga | Call Now</v>
      </c>
      <c r="C220" s="52" t="str">
        <f t="shared" si="32"/>
        <v>/hazardous-waste-cleanup-mississauga</v>
      </c>
      <c r="D220" s="53" t="s">
        <v>83</v>
      </c>
      <c r="E220" s="54"/>
      <c r="F220" s="62" t="s">
        <v>85</v>
      </c>
      <c r="G220" s="55"/>
      <c r="H220" s="54"/>
      <c r="I220" s="56"/>
      <c r="J220" s="57"/>
      <c r="K220" s="58"/>
      <c r="L220" s="55"/>
      <c r="M220" s="59" t="s">
        <v>184</v>
      </c>
    </row>
    <row r="221" ht="36.75" customHeight="1">
      <c r="A221" s="36">
        <v>203.0</v>
      </c>
      <c r="B221" s="40" t="str">
        <f t="shared" si="31"/>
        <v>Industrial Spill Cleanup Mississauga | Call Now</v>
      </c>
      <c r="C221" s="41" t="str">
        <f t="shared" si="32"/>
        <v>/industrial-spill-cleanup-mississauga</v>
      </c>
      <c r="D221" s="42" t="s">
        <v>163</v>
      </c>
      <c r="E221" s="43"/>
      <c r="F221" s="62" t="s">
        <v>85</v>
      </c>
      <c r="G221" s="45"/>
      <c r="H221" s="43"/>
      <c r="I221" s="46"/>
      <c r="J221" s="47"/>
      <c r="K221" s="48"/>
      <c r="L221" s="45"/>
      <c r="M221" s="49" t="s">
        <v>184</v>
      </c>
    </row>
    <row r="222" ht="36.75" customHeight="1">
      <c r="A222" s="50">
        <v>204.0</v>
      </c>
      <c r="B222" s="51" t="str">
        <f t="shared" si="31"/>
        <v>Industrial Chemical Spill Cleanup Mississauga | Call Now</v>
      </c>
      <c r="C222" s="52" t="str">
        <f t="shared" si="32"/>
        <v>/industrial-chemical-spill-cleanup-mississauga</v>
      </c>
      <c r="D222" s="53" t="s">
        <v>211</v>
      </c>
      <c r="E222" s="54"/>
      <c r="F222" s="62" t="s">
        <v>85</v>
      </c>
      <c r="G222" s="55"/>
      <c r="H222" s="54"/>
      <c r="I222" s="56"/>
      <c r="J222" s="57"/>
      <c r="K222" s="58"/>
      <c r="L222" s="55"/>
      <c r="M222" s="59" t="s">
        <v>184</v>
      </c>
    </row>
    <row r="223" ht="36.75" customHeight="1">
      <c r="A223" s="36">
        <v>205.0</v>
      </c>
      <c r="B223" s="40" t="str">
        <f t="shared" si="31"/>
        <v>Environmental Spill Response Mississauga | Call Now</v>
      </c>
      <c r="C223" s="41" t="str">
        <f t="shared" si="32"/>
        <v>/environmental-spill-response-mississauga</v>
      </c>
      <c r="D223" s="42" t="s">
        <v>115</v>
      </c>
      <c r="E223" s="43"/>
      <c r="F223" s="62" t="s">
        <v>85</v>
      </c>
      <c r="G223" s="45"/>
      <c r="H223" s="43"/>
      <c r="I223" s="46"/>
      <c r="J223" s="47"/>
      <c r="K223" s="48"/>
      <c r="L223" s="45"/>
      <c r="M223" s="49" t="s">
        <v>184</v>
      </c>
    </row>
    <row r="224" ht="36.75" customHeight="1">
      <c r="A224" s="50">
        <v>206.0</v>
      </c>
      <c r="B224" s="51" t="str">
        <f t="shared" si="31"/>
        <v>Fuel Spill Cleanup Mississauga | Call Now</v>
      </c>
      <c r="C224" s="52" t="str">
        <f t="shared" si="32"/>
        <v>/fuel-spill-cleanup-mississauga</v>
      </c>
      <c r="D224" s="53" t="s">
        <v>224</v>
      </c>
      <c r="E224" s="54"/>
      <c r="F224" s="62" t="s">
        <v>85</v>
      </c>
      <c r="G224" s="55"/>
      <c r="H224" s="54"/>
      <c r="I224" s="56"/>
      <c r="J224" s="57"/>
      <c r="K224" s="58"/>
      <c r="L224" s="55"/>
      <c r="M224" s="59" t="s">
        <v>184</v>
      </c>
    </row>
    <row r="225" ht="36.75" customHeight="1">
      <c r="A225" s="36">
        <v>207.0</v>
      </c>
      <c r="B225" s="40" t="str">
        <f t="shared" si="31"/>
        <v>Gasoline Spill Cleanup Mississauga | Call Now</v>
      </c>
      <c r="C225" s="41" t="str">
        <f t="shared" si="32"/>
        <v>/gasoline-spill-cleanup-mississauga</v>
      </c>
      <c r="D225" s="42" t="s">
        <v>188</v>
      </c>
      <c r="E225" s="43"/>
      <c r="F225" s="64" t="s">
        <v>85</v>
      </c>
      <c r="G225" s="45"/>
      <c r="H225" s="43"/>
      <c r="I225" s="46"/>
      <c r="J225" s="47"/>
      <c r="K225" s="48"/>
      <c r="L225" s="45"/>
      <c r="M225" s="49" t="s">
        <v>184</v>
      </c>
    </row>
    <row r="226" ht="36.75" customHeight="1">
      <c r="A226" s="50">
        <v>208.0</v>
      </c>
      <c r="B226" s="51" t="str">
        <f t="shared" si="31"/>
        <v>Diesel Spill Cleanup Mississauga | Call Now</v>
      </c>
      <c r="C226" s="52" t="str">
        <f t="shared" si="32"/>
        <v>/diesel-spill-cleanup-mississauga</v>
      </c>
      <c r="D226" s="53" t="s">
        <v>237</v>
      </c>
      <c r="E226" s="54"/>
      <c r="F226" s="64" t="s">
        <v>85</v>
      </c>
      <c r="G226" s="55"/>
      <c r="H226" s="54"/>
      <c r="I226" s="56"/>
      <c r="J226" s="57"/>
      <c r="K226" s="58"/>
      <c r="L226" s="55"/>
      <c r="M226" s="59" t="s">
        <v>184</v>
      </c>
    </row>
    <row r="227" ht="36.75" customHeight="1">
      <c r="A227" s="36">
        <v>209.0</v>
      </c>
      <c r="B227" s="40" t="str">
        <f t="shared" si="31"/>
        <v>Hydraulic Oil Spill Cleanup Mississauga | Call Now</v>
      </c>
      <c r="C227" s="41" t="str">
        <f t="shared" si="32"/>
        <v>/hydraulic-oil-spill-cleanup-mississauga</v>
      </c>
      <c r="D227" s="42" t="s">
        <v>205</v>
      </c>
      <c r="E227" s="43"/>
      <c r="F227" s="64" t="s">
        <v>85</v>
      </c>
      <c r="G227" s="45"/>
      <c r="H227" s="43"/>
      <c r="I227" s="46"/>
      <c r="J227" s="47"/>
      <c r="K227" s="48"/>
      <c r="L227" s="45"/>
      <c r="M227" s="49" t="s">
        <v>184</v>
      </c>
    </row>
    <row r="228" ht="36.75" customHeight="1">
      <c r="A228" s="50">
        <v>210.0</v>
      </c>
      <c r="B228" s="51" t="str">
        <f t="shared" si="31"/>
        <v>Mercury Spill Cleanup Mississauga | Call Now</v>
      </c>
      <c r="C228" s="52" t="str">
        <f t="shared" si="32"/>
        <v>/mercury-spill-cleanup-mississauga</v>
      </c>
      <c r="D228" s="53" t="s">
        <v>228</v>
      </c>
      <c r="E228" s="54"/>
      <c r="F228" s="64" t="s">
        <v>85</v>
      </c>
      <c r="G228" s="55"/>
      <c r="H228" s="54"/>
      <c r="I228" s="56"/>
      <c r="J228" s="57"/>
      <c r="K228" s="58"/>
      <c r="L228" s="55"/>
      <c r="M228" s="59" t="s">
        <v>184</v>
      </c>
    </row>
    <row r="229" ht="27.0" customHeight="1">
      <c r="A229" s="61" t="s">
        <v>323</v>
      </c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6"/>
    </row>
    <row r="230" ht="36.75" customHeight="1">
      <c r="A230" s="36">
        <v>211.0</v>
      </c>
      <c r="B230" s="40" t="str">
        <f t="shared" ref="B230:B244" si="33">PROPER(D230)&amp;" "&amp;F230&amp;" | Call Now"</f>
        <v>Emergency Spill Response Toronto | Call Now</v>
      </c>
      <c r="C230" s="41" t="str">
        <f t="shared" ref="C230:C244" si="34">"/"&amp;SUBSTITUTE(LOWER(TRIM(D230&amp;" "&amp;F230))," ","-")</f>
        <v>/emergency-spill-response-toronto</v>
      </c>
      <c r="D230" s="42" t="s">
        <v>43</v>
      </c>
      <c r="E230" s="43"/>
      <c r="F230" s="62" t="s">
        <v>89</v>
      </c>
      <c r="G230" s="45"/>
      <c r="H230" s="43"/>
      <c r="I230" s="46"/>
      <c r="J230" s="47"/>
      <c r="K230" s="48"/>
      <c r="L230" s="45"/>
      <c r="M230" s="49" t="s">
        <v>184</v>
      </c>
    </row>
    <row r="231" ht="36.75" customHeight="1">
      <c r="A231" s="50">
        <v>212.0</v>
      </c>
      <c r="B231" s="51" t="str">
        <f t="shared" si="33"/>
        <v>Chemical Spill Cleanup Toronto | Call Now</v>
      </c>
      <c r="C231" s="52" t="str">
        <f t="shared" si="34"/>
        <v>/chemical-spill-cleanup-toronto</v>
      </c>
      <c r="D231" s="53" t="s">
        <v>92</v>
      </c>
      <c r="E231" s="54"/>
      <c r="F231" s="62" t="s">
        <v>89</v>
      </c>
      <c r="G231" s="55"/>
      <c r="H231" s="54"/>
      <c r="I231" s="56"/>
      <c r="J231" s="57"/>
      <c r="K231" s="58"/>
      <c r="L231" s="55"/>
      <c r="M231" s="59" t="s">
        <v>184</v>
      </c>
    </row>
    <row r="232" ht="36.75" customHeight="1">
      <c r="A232" s="36">
        <v>213.0</v>
      </c>
      <c r="B232" s="40" t="str">
        <f t="shared" si="33"/>
        <v>Oil Spill Cleanup Toronto | Call Now</v>
      </c>
      <c r="C232" s="41" t="str">
        <f t="shared" si="34"/>
        <v>/oil-spill-cleanup-toronto</v>
      </c>
      <c r="D232" s="42" t="s">
        <v>186</v>
      </c>
      <c r="E232" s="43"/>
      <c r="F232" s="62" t="s">
        <v>89</v>
      </c>
      <c r="G232" s="45"/>
      <c r="H232" s="43"/>
      <c r="I232" s="46"/>
      <c r="J232" s="47"/>
      <c r="K232" s="48"/>
      <c r="L232" s="45"/>
      <c r="M232" s="49" t="s">
        <v>184</v>
      </c>
    </row>
    <row r="233" ht="36.75" customHeight="1">
      <c r="A233" s="50">
        <v>214.0</v>
      </c>
      <c r="B233" s="51" t="str">
        <f t="shared" si="33"/>
        <v>Hazmat Cleanup Toronto | Call Now</v>
      </c>
      <c r="C233" s="52" t="str">
        <f t="shared" si="34"/>
        <v>/hazmat-cleanup-toronto</v>
      </c>
      <c r="D233" s="53" t="s">
        <v>76</v>
      </c>
      <c r="E233" s="54"/>
      <c r="F233" s="62" t="s">
        <v>89</v>
      </c>
      <c r="G233" s="55"/>
      <c r="H233" s="54"/>
      <c r="I233" s="56"/>
      <c r="J233" s="57"/>
      <c r="K233" s="58"/>
      <c r="L233" s="55"/>
      <c r="M233" s="59" t="s">
        <v>184</v>
      </c>
    </row>
    <row r="234" ht="36.75" customHeight="1">
      <c r="A234" s="36">
        <v>215.0</v>
      </c>
      <c r="B234" s="40" t="str">
        <f t="shared" si="33"/>
        <v>Soil Remediation Services Toronto | Call Now</v>
      </c>
      <c r="C234" s="41" t="str">
        <f t="shared" si="34"/>
        <v>/soil-remediation-services-toronto</v>
      </c>
      <c r="D234" s="42" t="s">
        <v>178</v>
      </c>
      <c r="E234" s="43"/>
      <c r="F234" s="62" t="s">
        <v>89</v>
      </c>
      <c r="G234" s="45"/>
      <c r="H234" s="43"/>
      <c r="I234" s="46"/>
      <c r="J234" s="47"/>
      <c r="K234" s="48"/>
      <c r="L234" s="45"/>
      <c r="M234" s="49" t="s">
        <v>184</v>
      </c>
    </row>
    <row r="235" ht="36.75" customHeight="1">
      <c r="A235" s="50">
        <v>216.0</v>
      </c>
      <c r="B235" s="51" t="str">
        <f t="shared" si="33"/>
        <v>Contaminated Soil Removal Toronto | Call Now</v>
      </c>
      <c r="C235" s="52" t="str">
        <f t="shared" si="34"/>
        <v>/contaminated-soil-removal-toronto</v>
      </c>
      <c r="D235" s="53" t="s">
        <v>181</v>
      </c>
      <c r="E235" s="54"/>
      <c r="F235" s="62" t="s">
        <v>89</v>
      </c>
      <c r="G235" s="55"/>
      <c r="H235" s="54"/>
      <c r="I235" s="56"/>
      <c r="J235" s="57"/>
      <c r="K235" s="58"/>
      <c r="L235" s="55"/>
      <c r="M235" s="59" t="s">
        <v>184</v>
      </c>
    </row>
    <row r="236" ht="36.75" customHeight="1">
      <c r="A236" s="36">
        <v>217.0</v>
      </c>
      <c r="B236" s="40" t="str">
        <f t="shared" si="33"/>
        <v>Hazardous Waste Cleanup Toronto | Call Now</v>
      </c>
      <c r="C236" s="41" t="str">
        <f t="shared" si="34"/>
        <v>/hazardous-waste-cleanup-toronto</v>
      </c>
      <c r="D236" s="42" t="s">
        <v>83</v>
      </c>
      <c r="E236" s="43"/>
      <c r="F236" s="62" t="s">
        <v>89</v>
      </c>
      <c r="G236" s="45"/>
      <c r="H236" s="43"/>
      <c r="I236" s="46"/>
      <c r="J236" s="47"/>
      <c r="K236" s="48"/>
      <c r="L236" s="45"/>
      <c r="M236" s="49" t="s">
        <v>184</v>
      </c>
    </row>
    <row r="237" ht="36.75" customHeight="1">
      <c r="A237" s="50">
        <v>218.0</v>
      </c>
      <c r="B237" s="51" t="str">
        <f t="shared" si="33"/>
        <v>Industrial Spill Cleanup Toronto | Call Now</v>
      </c>
      <c r="C237" s="52" t="str">
        <f t="shared" si="34"/>
        <v>/industrial-spill-cleanup-toronto</v>
      </c>
      <c r="D237" s="53" t="s">
        <v>163</v>
      </c>
      <c r="E237" s="54"/>
      <c r="F237" s="62" t="s">
        <v>89</v>
      </c>
      <c r="G237" s="55"/>
      <c r="H237" s="54"/>
      <c r="I237" s="56"/>
      <c r="J237" s="57"/>
      <c r="K237" s="58"/>
      <c r="L237" s="55"/>
      <c r="M237" s="59" t="s">
        <v>184</v>
      </c>
    </row>
    <row r="238" ht="36.75" customHeight="1">
      <c r="A238" s="36">
        <v>219.0</v>
      </c>
      <c r="B238" s="40" t="str">
        <f t="shared" si="33"/>
        <v>Industrial Chemical Spill Cleanup Toronto | Call Now</v>
      </c>
      <c r="C238" s="41" t="str">
        <f t="shared" si="34"/>
        <v>/industrial-chemical-spill-cleanup-toronto</v>
      </c>
      <c r="D238" s="42" t="s">
        <v>211</v>
      </c>
      <c r="E238" s="43"/>
      <c r="F238" s="62" t="s">
        <v>89</v>
      </c>
      <c r="G238" s="45"/>
      <c r="H238" s="43"/>
      <c r="I238" s="46"/>
      <c r="J238" s="47"/>
      <c r="K238" s="48"/>
      <c r="L238" s="45"/>
      <c r="M238" s="49" t="s">
        <v>184</v>
      </c>
    </row>
    <row r="239" ht="36.75" customHeight="1">
      <c r="A239" s="50">
        <v>220.0</v>
      </c>
      <c r="B239" s="51" t="str">
        <f t="shared" si="33"/>
        <v>Environmental Spill Response Toronto | Call Now</v>
      </c>
      <c r="C239" s="52" t="str">
        <f t="shared" si="34"/>
        <v>/environmental-spill-response-toronto</v>
      </c>
      <c r="D239" s="53" t="s">
        <v>115</v>
      </c>
      <c r="E239" s="54"/>
      <c r="F239" s="62" t="s">
        <v>89</v>
      </c>
      <c r="G239" s="55"/>
      <c r="H239" s="54"/>
      <c r="I239" s="56"/>
      <c r="J239" s="57"/>
      <c r="K239" s="58"/>
      <c r="L239" s="55"/>
      <c r="M239" s="59" t="s">
        <v>184</v>
      </c>
    </row>
    <row r="240" ht="36.75" customHeight="1">
      <c r="A240" s="36">
        <v>221.0</v>
      </c>
      <c r="B240" s="40" t="str">
        <f t="shared" si="33"/>
        <v>Fuel Spill Cleanup Toronto | Call Now</v>
      </c>
      <c r="C240" s="41" t="str">
        <f t="shared" si="34"/>
        <v>/fuel-spill-cleanup-toronto</v>
      </c>
      <c r="D240" s="42" t="s">
        <v>224</v>
      </c>
      <c r="E240" s="43"/>
      <c r="F240" s="62" t="s">
        <v>89</v>
      </c>
      <c r="G240" s="45"/>
      <c r="H240" s="43"/>
      <c r="I240" s="46"/>
      <c r="J240" s="47"/>
      <c r="K240" s="48"/>
      <c r="L240" s="45"/>
      <c r="M240" s="49" t="s">
        <v>184</v>
      </c>
    </row>
    <row r="241" ht="36.75" customHeight="1">
      <c r="A241" s="50">
        <v>222.0</v>
      </c>
      <c r="B241" s="51" t="str">
        <f t="shared" si="33"/>
        <v>Gasoline Spill Cleanup Toronto | Call Now</v>
      </c>
      <c r="C241" s="52" t="str">
        <f t="shared" si="34"/>
        <v>/gasoline-spill-cleanup-toronto</v>
      </c>
      <c r="D241" s="53" t="s">
        <v>188</v>
      </c>
      <c r="E241" s="54"/>
      <c r="F241" s="64" t="s">
        <v>89</v>
      </c>
      <c r="G241" s="55"/>
      <c r="H241" s="54"/>
      <c r="I241" s="56"/>
      <c r="J241" s="57"/>
      <c r="K241" s="58"/>
      <c r="L241" s="55"/>
      <c r="M241" s="59" t="s">
        <v>184</v>
      </c>
    </row>
    <row r="242" ht="36.75" customHeight="1">
      <c r="A242" s="36">
        <v>223.0</v>
      </c>
      <c r="B242" s="40" t="str">
        <f t="shared" si="33"/>
        <v>Diesel Spill Cleanup Toronto | Call Now</v>
      </c>
      <c r="C242" s="41" t="str">
        <f t="shared" si="34"/>
        <v>/diesel-spill-cleanup-toronto</v>
      </c>
      <c r="D242" s="42" t="s">
        <v>237</v>
      </c>
      <c r="E242" s="43"/>
      <c r="F242" s="64" t="s">
        <v>89</v>
      </c>
      <c r="G242" s="45"/>
      <c r="H242" s="43"/>
      <c r="I242" s="46"/>
      <c r="J242" s="47"/>
      <c r="K242" s="48"/>
      <c r="L242" s="45"/>
      <c r="M242" s="49" t="s">
        <v>184</v>
      </c>
    </row>
    <row r="243" ht="36.75" customHeight="1">
      <c r="A243" s="50">
        <v>224.0</v>
      </c>
      <c r="B243" s="51" t="str">
        <f t="shared" si="33"/>
        <v>Hydraulic Oil Spill Cleanup Toronto | Call Now</v>
      </c>
      <c r="C243" s="52" t="str">
        <f t="shared" si="34"/>
        <v>/hydraulic-oil-spill-cleanup-toronto</v>
      </c>
      <c r="D243" s="53" t="s">
        <v>205</v>
      </c>
      <c r="E243" s="54"/>
      <c r="F243" s="64" t="s">
        <v>89</v>
      </c>
      <c r="G243" s="55"/>
      <c r="H243" s="54"/>
      <c r="I243" s="56"/>
      <c r="J243" s="57"/>
      <c r="K243" s="58"/>
      <c r="L243" s="55"/>
      <c r="M243" s="59" t="s">
        <v>184</v>
      </c>
    </row>
    <row r="244" ht="36.75" customHeight="1">
      <c r="A244" s="36">
        <v>225.0</v>
      </c>
      <c r="B244" s="40" t="str">
        <f t="shared" si="33"/>
        <v>Mercury Spill Cleanup Toronto | Call Now</v>
      </c>
      <c r="C244" s="41" t="str">
        <f t="shared" si="34"/>
        <v>/mercury-spill-cleanup-toronto</v>
      </c>
      <c r="D244" s="42" t="s">
        <v>228</v>
      </c>
      <c r="E244" s="43"/>
      <c r="F244" s="64" t="s">
        <v>89</v>
      </c>
      <c r="G244" s="45"/>
      <c r="H244" s="43"/>
      <c r="I244" s="46"/>
      <c r="J244" s="47"/>
      <c r="K244" s="48"/>
      <c r="L244" s="45"/>
      <c r="M244" s="49" t="s">
        <v>184</v>
      </c>
    </row>
    <row r="245" ht="27.0" customHeight="1">
      <c r="A245" s="61" t="s">
        <v>324</v>
      </c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6"/>
    </row>
    <row r="246" ht="36.75" customHeight="1">
      <c r="A246" s="50">
        <v>226.0</v>
      </c>
      <c r="B246" s="51" t="str">
        <f t="shared" ref="B246:B260" si="35">PROPER(D246)&amp;" "&amp;F246&amp;" | Call Now"</f>
        <v>Emergency Spill Response Halifax | Call Now</v>
      </c>
      <c r="C246" s="52" t="str">
        <f t="shared" ref="C246:C260" si="36">"/"&amp;SUBSTITUTE(LOWER(TRIM(D246&amp;" "&amp;F246))," ","-")</f>
        <v>/emergency-spill-response-halifax</v>
      </c>
      <c r="D246" s="53" t="s">
        <v>43</v>
      </c>
      <c r="E246" s="54"/>
      <c r="F246" s="62" t="s">
        <v>94</v>
      </c>
      <c r="G246" s="55"/>
      <c r="H246" s="54"/>
      <c r="I246" s="56"/>
      <c r="J246" s="57"/>
      <c r="K246" s="58"/>
      <c r="L246" s="55"/>
      <c r="M246" s="59" t="s">
        <v>184</v>
      </c>
    </row>
    <row r="247" ht="36.75" customHeight="1">
      <c r="A247" s="36">
        <v>227.0</v>
      </c>
      <c r="B247" s="40" t="str">
        <f t="shared" si="35"/>
        <v>Chemical Spill Cleanup Halifax | Call Now</v>
      </c>
      <c r="C247" s="41" t="str">
        <f t="shared" si="36"/>
        <v>/chemical-spill-cleanup-halifax</v>
      </c>
      <c r="D247" s="42" t="s">
        <v>92</v>
      </c>
      <c r="E247" s="43"/>
      <c r="F247" s="62" t="s">
        <v>94</v>
      </c>
      <c r="G247" s="45"/>
      <c r="H247" s="43"/>
      <c r="I247" s="46"/>
      <c r="J247" s="47"/>
      <c r="K247" s="48"/>
      <c r="L247" s="45"/>
      <c r="M247" s="49" t="s">
        <v>184</v>
      </c>
    </row>
    <row r="248" ht="36.75" customHeight="1">
      <c r="A248" s="50">
        <v>228.0</v>
      </c>
      <c r="B248" s="51" t="str">
        <f t="shared" si="35"/>
        <v>Oil Spill Cleanup Halifax | Call Now</v>
      </c>
      <c r="C248" s="52" t="str">
        <f t="shared" si="36"/>
        <v>/oil-spill-cleanup-halifax</v>
      </c>
      <c r="D248" s="53" t="s">
        <v>186</v>
      </c>
      <c r="E248" s="54"/>
      <c r="F248" s="62" t="s">
        <v>94</v>
      </c>
      <c r="G248" s="55"/>
      <c r="H248" s="54"/>
      <c r="I248" s="56"/>
      <c r="J248" s="57"/>
      <c r="K248" s="58"/>
      <c r="L248" s="55"/>
      <c r="M248" s="59" t="s">
        <v>184</v>
      </c>
    </row>
    <row r="249" ht="36.75" customHeight="1">
      <c r="A249" s="36">
        <v>229.0</v>
      </c>
      <c r="B249" s="40" t="str">
        <f t="shared" si="35"/>
        <v>Hazmat Cleanup Halifax | Call Now</v>
      </c>
      <c r="C249" s="41" t="str">
        <f t="shared" si="36"/>
        <v>/hazmat-cleanup-halifax</v>
      </c>
      <c r="D249" s="42" t="s">
        <v>76</v>
      </c>
      <c r="E249" s="43"/>
      <c r="F249" s="62" t="s">
        <v>94</v>
      </c>
      <c r="G249" s="45"/>
      <c r="H249" s="43"/>
      <c r="I249" s="46"/>
      <c r="J249" s="47"/>
      <c r="K249" s="48"/>
      <c r="L249" s="45"/>
      <c r="M249" s="49" t="s">
        <v>184</v>
      </c>
    </row>
    <row r="250" ht="36.75" customHeight="1">
      <c r="A250" s="50">
        <v>230.0</v>
      </c>
      <c r="B250" s="51" t="str">
        <f t="shared" si="35"/>
        <v>Soil Remediation Services Halifax | Call Now</v>
      </c>
      <c r="C250" s="52" t="str">
        <f t="shared" si="36"/>
        <v>/soil-remediation-services-halifax</v>
      </c>
      <c r="D250" s="53" t="s">
        <v>178</v>
      </c>
      <c r="E250" s="54"/>
      <c r="F250" s="62" t="s">
        <v>94</v>
      </c>
      <c r="G250" s="55"/>
      <c r="H250" s="54"/>
      <c r="I250" s="56"/>
      <c r="J250" s="57"/>
      <c r="K250" s="58"/>
      <c r="L250" s="55"/>
      <c r="M250" s="59" t="s">
        <v>184</v>
      </c>
    </row>
    <row r="251" ht="36.75" customHeight="1">
      <c r="A251" s="36">
        <v>231.0</v>
      </c>
      <c r="B251" s="40" t="str">
        <f t="shared" si="35"/>
        <v>Contaminated Soil Removal Halifax | Call Now</v>
      </c>
      <c r="C251" s="41" t="str">
        <f t="shared" si="36"/>
        <v>/contaminated-soil-removal-halifax</v>
      </c>
      <c r="D251" s="42" t="s">
        <v>181</v>
      </c>
      <c r="E251" s="43"/>
      <c r="F251" s="62" t="s">
        <v>94</v>
      </c>
      <c r="G251" s="45"/>
      <c r="H251" s="43"/>
      <c r="I251" s="46"/>
      <c r="J251" s="47"/>
      <c r="K251" s="48"/>
      <c r="L251" s="45"/>
      <c r="M251" s="49" t="s">
        <v>184</v>
      </c>
    </row>
    <row r="252" ht="36.75" customHeight="1">
      <c r="A252" s="50">
        <v>232.0</v>
      </c>
      <c r="B252" s="51" t="str">
        <f t="shared" si="35"/>
        <v>Hazardous Waste Cleanup Halifax | Call Now</v>
      </c>
      <c r="C252" s="52" t="str">
        <f t="shared" si="36"/>
        <v>/hazardous-waste-cleanup-halifax</v>
      </c>
      <c r="D252" s="53" t="s">
        <v>83</v>
      </c>
      <c r="E252" s="54"/>
      <c r="F252" s="62" t="s">
        <v>94</v>
      </c>
      <c r="G252" s="55"/>
      <c r="H252" s="54"/>
      <c r="I252" s="56"/>
      <c r="J252" s="57"/>
      <c r="K252" s="58"/>
      <c r="L252" s="55"/>
      <c r="M252" s="59" t="s">
        <v>184</v>
      </c>
    </row>
    <row r="253" ht="36.75" customHeight="1">
      <c r="A253" s="36">
        <v>233.0</v>
      </c>
      <c r="B253" s="40" t="str">
        <f t="shared" si="35"/>
        <v>Industrial Spill Cleanup Halifax | Call Now</v>
      </c>
      <c r="C253" s="41" t="str">
        <f t="shared" si="36"/>
        <v>/industrial-spill-cleanup-halifax</v>
      </c>
      <c r="D253" s="42" t="s">
        <v>163</v>
      </c>
      <c r="E253" s="43"/>
      <c r="F253" s="62" t="s">
        <v>94</v>
      </c>
      <c r="G253" s="45"/>
      <c r="H253" s="43"/>
      <c r="I253" s="46"/>
      <c r="J253" s="47"/>
      <c r="K253" s="48"/>
      <c r="L253" s="45"/>
      <c r="M253" s="49" t="s">
        <v>184</v>
      </c>
    </row>
    <row r="254" ht="36.75" customHeight="1">
      <c r="A254" s="50">
        <v>234.0</v>
      </c>
      <c r="B254" s="51" t="str">
        <f t="shared" si="35"/>
        <v>Industrial Chemical Spill Cleanup Halifax | Call Now</v>
      </c>
      <c r="C254" s="52" t="str">
        <f t="shared" si="36"/>
        <v>/industrial-chemical-spill-cleanup-halifax</v>
      </c>
      <c r="D254" s="53" t="s">
        <v>211</v>
      </c>
      <c r="E254" s="54"/>
      <c r="F254" s="62" t="s">
        <v>94</v>
      </c>
      <c r="G254" s="55"/>
      <c r="H254" s="54"/>
      <c r="I254" s="56"/>
      <c r="J254" s="57"/>
      <c r="K254" s="58"/>
      <c r="L254" s="55"/>
      <c r="M254" s="59" t="s">
        <v>184</v>
      </c>
    </row>
    <row r="255" ht="36.75" customHeight="1">
      <c r="A255" s="36">
        <v>235.0</v>
      </c>
      <c r="B255" s="40" t="str">
        <f t="shared" si="35"/>
        <v>Environmental Spill Response Halifax | Call Now</v>
      </c>
      <c r="C255" s="41" t="str">
        <f t="shared" si="36"/>
        <v>/environmental-spill-response-halifax</v>
      </c>
      <c r="D255" s="42" t="s">
        <v>115</v>
      </c>
      <c r="E255" s="43"/>
      <c r="F255" s="62" t="s">
        <v>94</v>
      </c>
      <c r="G255" s="45"/>
      <c r="H255" s="43"/>
      <c r="I255" s="46"/>
      <c r="J255" s="47"/>
      <c r="K255" s="48"/>
      <c r="L255" s="45"/>
      <c r="M255" s="49" t="s">
        <v>184</v>
      </c>
    </row>
    <row r="256" ht="36.75" customHeight="1">
      <c r="A256" s="50">
        <v>236.0</v>
      </c>
      <c r="B256" s="51" t="str">
        <f t="shared" si="35"/>
        <v>Fuel Spill Cleanup Halifax | Call Now</v>
      </c>
      <c r="C256" s="52" t="str">
        <f t="shared" si="36"/>
        <v>/fuel-spill-cleanup-halifax</v>
      </c>
      <c r="D256" s="53" t="s">
        <v>224</v>
      </c>
      <c r="E256" s="54"/>
      <c r="F256" s="62" t="s">
        <v>94</v>
      </c>
      <c r="G256" s="55"/>
      <c r="H256" s="54"/>
      <c r="I256" s="56"/>
      <c r="J256" s="57"/>
      <c r="K256" s="58"/>
      <c r="L256" s="55"/>
      <c r="M256" s="59" t="s">
        <v>184</v>
      </c>
    </row>
    <row r="257" ht="36.75" customHeight="1">
      <c r="A257" s="36">
        <v>237.0</v>
      </c>
      <c r="B257" s="40" t="str">
        <f t="shared" si="35"/>
        <v>Gasoline Spill Cleanup Halifax | Call Now</v>
      </c>
      <c r="C257" s="41" t="str">
        <f t="shared" si="36"/>
        <v>/gasoline-spill-cleanup-halifax</v>
      </c>
      <c r="D257" s="42" t="s">
        <v>188</v>
      </c>
      <c r="E257" s="43"/>
      <c r="F257" s="64" t="s">
        <v>94</v>
      </c>
      <c r="G257" s="45"/>
      <c r="H257" s="43"/>
      <c r="I257" s="46"/>
      <c r="J257" s="47"/>
      <c r="K257" s="48"/>
      <c r="L257" s="45"/>
      <c r="M257" s="49" t="s">
        <v>184</v>
      </c>
    </row>
    <row r="258" ht="36.75" customHeight="1">
      <c r="A258" s="50">
        <v>238.0</v>
      </c>
      <c r="B258" s="51" t="str">
        <f t="shared" si="35"/>
        <v>Diesel Spill Cleanup Halifax | Call Now</v>
      </c>
      <c r="C258" s="52" t="str">
        <f t="shared" si="36"/>
        <v>/diesel-spill-cleanup-halifax</v>
      </c>
      <c r="D258" s="53" t="s">
        <v>237</v>
      </c>
      <c r="E258" s="54"/>
      <c r="F258" s="64" t="s">
        <v>94</v>
      </c>
      <c r="G258" s="55"/>
      <c r="H258" s="54"/>
      <c r="I258" s="56"/>
      <c r="J258" s="57"/>
      <c r="K258" s="58"/>
      <c r="L258" s="55"/>
      <c r="M258" s="59" t="s">
        <v>184</v>
      </c>
    </row>
    <row r="259" ht="36.75" customHeight="1">
      <c r="A259" s="36">
        <v>239.0</v>
      </c>
      <c r="B259" s="40" t="str">
        <f t="shared" si="35"/>
        <v>Hydraulic Oil Spill Cleanup Halifax | Call Now</v>
      </c>
      <c r="C259" s="41" t="str">
        <f t="shared" si="36"/>
        <v>/hydraulic-oil-spill-cleanup-halifax</v>
      </c>
      <c r="D259" s="42" t="s">
        <v>205</v>
      </c>
      <c r="E259" s="43"/>
      <c r="F259" s="64" t="s">
        <v>94</v>
      </c>
      <c r="G259" s="45"/>
      <c r="H259" s="43"/>
      <c r="I259" s="46"/>
      <c r="J259" s="47"/>
      <c r="K259" s="48"/>
      <c r="L259" s="45"/>
      <c r="M259" s="49" t="s">
        <v>184</v>
      </c>
    </row>
    <row r="260" ht="36.75" customHeight="1">
      <c r="A260" s="50">
        <v>240.0</v>
      </c>
      <c r="B260" s="51" t="str">
        <f t="shared" si="35"/>
        <v>Mercury Spill Cleanup Halifax | Call Now</v>
      </c>
      <c r="C260" s="52" t="str">
        <f t="shared" si="36"/>
        <v>/mercury-spill-cleanup-halifax</v>
      </c>
      <c r="D260" s="53" t="s">
        <v>228</v>
      </c>
      <c r="E260" s="54"/>
      <c r="F260" s="64" t="s">
        <v>94</v>
      </c>
      <c r="G260" s="55"/>
      <c r="H260" s="54"/>
      <c r="I260" s="56"/>
      <c r="J260" s="57"/>
      <c r="K260" s="58"/>
      <c r="L260" s="55"/>
      <c r="M260" s="59" t="s">
        <v>184</v>
      </c>
    </row>
    <row r="261" ht="27.0" customHeight="1">
      <c r="A261" s="61" t="s">
        <v>325</v>
      </c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6"/>
    </row>
    <row r="262" ht="36.75" customHeight="1">
      <c r="A262" s="36">
        <v>241.0</v>
      </c>
      <c r="B262" s="40" t="str">
        <f t="shared" ref="B262:B276" si="37">PROPER(D262)&amp;" "&amp;F262&amp;" | Call Now"</f>
        <v>Emergency Spill Response Regina | Call Now</v>
      </c>
      <c r="C262" s="41" t="str">
        <f t="shared" ref="C262:C276" si="38">"/"&amp;SUBSTITUTE(LOWER(TRIM(D262&amp;" "&amp;F262))," ","-")</f>
        <v>/emergency-spill-response-regina</v>
      </c>
      <c r="D262" s="42" t="s">
        <v>43</v>
      </c>
      <c r="E262" s="43"/>
      <c r="F262" s="62" t="s">
        <v>100</v>
      </c>
      <c r="G262" s="45"/>
      <c r="H262" s="43"/>
      <c r="I262" s="46"/>
      <c r="J262" s="47"/>
      <c r="K262" s="48"/>
      <c r="L262" s="45"/>
      <c r="M262" s="49" t="s">
        <v>184</v>
      </c>
    </row>
    <row r="263" ht="36.75" customHeight="1">
      <c r="A263" s="50">
        <v>242.0</v>
      </c>
      <c r="B263" s="51" t="str">
        <f t="shared" si="37"/>
        <v>Chemical Spill Cleanup Regina | Call Now</v>
      </c>
      <c r="C263" s="52" t="str">
        <f t="shared" si="38"/>
        <v>/chemical-spill-cleanup-regina</v>
      </c>
      <c r="D263" s="53" t="s">
        <v>92</v>
      </c>
      <c r="E263" s="54"/>
      <c r="F263" s="62" t="s">
        <v>100</v>
      </c>
      <c r="G263" s="55"/>
      <c r="H263" s="54"/>
      <c r="I263" s="56"/>
      <c r="J263" s="57"/>
      <c r="K263" s="58"/>
      <c r="L263" s="55"/>
      <c r="M263" s="59" t="s">
        <v>184</v>
      </c>
    </row>
    <row r="264" ht="36.75" customHeight="1">
      <c r="A264" s="36">
        <v>243.0</v>
      </c>
      <c r="B264" s="40" t="str">
        <f t="shared" si="37"/>
        <v>Oil Spill Cleanup Regina | Call Now</v>
      </c>
      <c r="C264" s="41" t="str">
        <f t="shared" si="38"/>
        <v>/oil-spill-cleanup-regina</v>
      </c>
      <c r="D264" s="42" t="s">
        <v>186</v>
      </c>
      <c r="E264" s="43"/>
      <c r="F264" s="62" t="s">
        <v>100</v>
      </c>
      <c r="G264" s="45"/>
      <c r="H264" s="43"/>
      <c r="I264" s="46"/>
      <c r="J264" s="47"/>
      <c r="K264" s="48"/>
      <c r="L264" s="45"/>
      <c r="M264" s="49" t="s">
        <v>184</v>
      </c>
    </row>
    <row r="265" ht="36.75" customHeight="1">
      <c r="A265" s="50">
        <v>244.0</v>
      </c>
      <c r="B265" s="51" t="str">
        <f t="shared" si="37"/>
        <v>Hazmat Cleanup Regina | Call Now</v>
      </c>
      <c r="C265" s="52" t="str">
        <f t="shared" si="38"/>
        <v>/hazmat-cleanup-regina</v>
      </c>
      <c r="D265" s="53" t="s">
        <v>76</v>
      </c>
      <c r="E265" s="54"/>
      <c r="F265" s="62" t="s">
        <v>100</v>
      </c>
      <c r="G265" s="55"/>
      <c r="H265" s="54"/>
      <c r="I265" s="56"/>
      <c r="J265" s="57"/>
      <c r="K265" s="58"/>
      <c r="L265" s="55"/>
      <c r="M265" s="59" t="s">
        <v>184</v>
      </c>
    </row>
    <row r="266" ht="36.75" customHeight="1">
      <c r="A266" s="36">
        <v>245.0</v>
      </c>
      <c r="B266" s="40" t="str">
        <f t="shared" si="37"/>
        <v>Soil Remediation Services Regina | Call Now</v>
      </c>
      <c r="C266" s="41" t="str">
        <f t="shared" si="38"/>
        <v>/soil-remediation-services-regina</v>
      </c>
      <c r="D266" s="42" t="s">
        <v>178</v>
      </c>
      <c r="E266" s="43"/>
      <c r="F266" s="62" t="s">
        <v>100</v>
      </c>
      <c r="G266" s="45"/>
      <c r="H266" s="43"/>
      <c r="I266" s="46"/>
      <c r="J266" s="47"/>
      <c r="K266" s="48"/>
      <c r="L266" s="45"/>
      <c r="M266" s="49" t="s">
        <v>184</v>
      </c>
    </row>
    <row r="267" ht="36.75" customHeight="1">
      <c r="A267" s="50">
        <v>246.0</v>
      </c>
      <c r="B267" s="51" t="str">
        <f t="shared" si="37"/>
        <v>Contaminated Soil Removal Regina | Call Now</v>
      </c>
      <c r="C267" s="52" t="str">
        <f t="shared" si="38"/>
        <v>/contaminated-soil-removal-regina</v>
      </c>
      <c r="D267" s="53" t="s">
        <v>181</v>
      </c>
      <c r="E267" s="54"/>
      <c r="F267" s="62" t="s">
        <v>100</v>
      </c>
      <c r="G267" s="55"/>
      <c r="H267" s="54"/>
      <c r="I267" s="56"/>
      <c r="J267" s="57"/>
      <c r="K267" s="58"/>
      <c r="L267" s="55"/>
      <c r="M267" s="59" t="s">
        <v>184</v>
      </c>
    </row>
    <row r="268" ht="36.75" customHeight="1">
      <c r="A268" s="36">
        <v>247.0</v>
      </c>
      <c r="B268" s="40" t="str">
        <f t="shared" si="37"/>
        <v>Hazardous Waste Cleanup Regina | Call Now</v>
      </c>
      <c r="C268" s="41" t="str">
        <f t="shared" si="38"/>
        <v>/hazardous-waste-cleanup-regina</v>
      </c>
      <c r="D268" s="42" t="s">
        <v>83</v>
      </c>
      <c r="E268" s="43"/>
      <c r="F268" s="62" t="s">
        <v>100</v>
      </c>
      <c r="G268" s="45"/>
      <c r="H268" s="43"/>
      <c r="I268" s="46"/>
      <c r="J268" s="47"/>
      <c r="K268" s="48"/>
      <c r="L268" s="45"/>
      <c r="M268" s="49" t="s">
        <v>184</v>
      </c>
    </row>
    <row r="269" ht="36.75" customHeight="1">
      <c r="A269" s="50">
        <v>248.0</v>
      </c>
      <c r="B269" s="51" t="str">
        <f t="shared" si="37"/>
        <v>Industrial Spill Cleanup Regina | Call Now</v>
      </c>
      <c r="C269" s="52" t="str">
        <f t="shared" si="38"/>
        <v>/industrial-spill-cleanup-regina</v>
      </c>
      <c r="D269" s="53" t="s">
        <v>163</v>
      </c>
      <c r="E269" s="54"/>
      <c r="F269" s="62" t="s">
        <v>100</v>
      </c>
      <c r="G269" s="55"/>
      <c r="H269" s="54"/>
      <c r="I269" s="56"/>
      <c r="J269" s="57"/>
      <c r="K269" s="58"/>
      <c r="L269" s="55"/>
      <c r="M269" s="59" t="s">
        <v>184</v>
      </c>
    </row>
    <row r="270" ht="36.75" customHeight="1">
      <c r="A270" s="36">
        <v>249.0</v>
      </c>
      <c r="B270" s="40" t="str">
        <f t="shared" si="37"/>
        <v>Industrial Chemical Spill Cleanup Regina | Call Now</v>
      </c>
      <c r="C270" s="41" t="str">
        <f t="shared" si="38"/>
        <v>/industrial-chemical-spill-cleanup-regina</v>
      </c>
      <c r="D270" s="42" t="s">
        <v>211</v>
      </c>
      <c r="E270" s="43"/>
      <c r="F270" s="62" t="s">
        <v>100</v>
      </c>
      <c r="G270" s="45"/>
      <c r="H270" s="43"/>
      <c r="I270" s="46"/>
      <c r="J270" s="47"/>
      <c r="K270" s="48"/>
      <c r="L270" s="45"/>
      <c r="M270" s="49" t="s">
        <v>184</v>
      </c>
    </row>
    <row r="271" ht="36.75" customHeight="1">
      <c r="A271" s="50">
        <v>250.0</v>
      </c>
      <c r="B271" s="51" t="str">
        <f t="shared" si="37"/>
        <v>Environmental Spill Response Regina | Call Now</v>
      </c>
      <c r="C271" s="52" t="str">
        <f t="shared" si="38"/>
        <v>/environmental-spill-response-regina</v>
      </c>
      <c r="D271" s="53" t="s">
        <v>115</v>
      </c>
      <c r="E271" s="54"/>
      <c r="F271" s="62" t="s">
        <v>100</v>
      </c>
      <c r="G271" s="55"/>
      <c r="H271" s="54"/>
      <c r="I271" s="56"/>
      <c r="J271" s="57"/>
      <c r="K271" s="58"/>
      <c r="L271" s="55"/>
      <c r="M271" s="59" t="s">
        <v>184</v>
      </c>
    </row>
    <row r="272" ht="36.75" customHeight="1">
      <c r="A272" s="36">
        <v>251.0</v>
      </c>
      <c r="B272" s="40" t="str">
        <f t="shared" si="37"/>
        <v>Fuel Spill Cleanup Regina | Call Now</v>
      </c>
      <c r="C272" s="41" t="str">
        <f t="shared" si="38"/>
        <v>/fuel-spill-cleanup-regina</v>
      </c>
      <c r="D272" s="42" t="s">
        <v>224</v>
      </c>
      <c r="E272" s="43"/>
      <c r="F272" s="62" t="s">
        <v>100</v>
      </c>
      <c r="G272" s="45"/>
      <c r="H272" s="43"/>
      <c r="I272" s="46"/>
      <c r="J272" s="47"/>
      <c r="K272" s="48"/>
      <c r="L272" s="45"/>
      <c r="M272" s="49" t="s">
        <v>184</v>
      </c>
    </row>
    <row r="273" ht="36.75" customHeight="1">
      <c r="A273" s="50">
        <v>252.0</v>
      </c>
      <c r="B273" s="51" t="str">
        <f t="shared" si="37"/>
        <v>Gasoline Spill Cleanup Regina | Call Now</v>
      </c>
      <c r="C273" s="52" t="str">
        <f t="shared" si="38"/>
        <v>/gasoline-spill-cleanup-regina</v>
      </c>
      <c r="D273" s="53" t="s">
        <v>188</v>
      </c>
      <c r="E273" s="54"/>
      <c r="F273" s="64" t="s">
        <v>100</v>
      </c>
      <c r="G273" s="55"/>
      <c r="H273" s="54"/>
      <c r="I273" s="56"/>
      <c r="J273" s="57"/>
      <c r="K273" s="58"/>
      <c r="L273" s="55"/>
      <c r="M273" s="59" t="s">
        <v>184</v>
      </c>
    </row>
    <row r="274" ht="36.75" customHeight="1">
      <c r="A274" s="36">
        <v>253.0</v>
      </c>
      <c r="B274" s="40" t="str">
        <f t="shared" si="37"/>
        <v>Diesel Spill Cleanup Regina | Call Now</v>
      </c>
      <c r="C274" s="41" t="str">
        <f t="shared" si="38"/>
        <v>/diesel-spill-cleanup-regina</v>
      </c>
      <c r="D274" s="42" t="s">
        <v>237</v>
      </c>
      <c r="E274" s="43"/>
      <c r="F274" s="64" t="s">
        <v>100</v>
      </c>
      <c r="G274" s="45"/>
      <c r="H274" s="43"/>
      <c r="I274" s="46"/>
      <c r="J274" s="47"/>
      <c r="K274" s="48"/>
      <c r="L274" s="45"/>
      <c r="M274" s="49" t="s">
        <v>184</v>
      </c>
    </row>
    <row r="275" ht="36.75" customHeight="1">
      <c r="A275" s="50">
        <v>254.0</v>
      </c>
      <c r="B275" s="51" t="str">
        <f t="shared" si="37"/>
        <v>Hydraulic Oil Spill Cleanup Regina | Call Now</v>
      </c>
      <c r="C275" s="52" t="str">
        <f t="shared" si="38"/>
        <v>/hydraulic-oil-spill-cleanup-regina</v>
      </c>
      <c r="D275" s="53" t="s">
        <v>205</v>
      </c>
      <c r="E275" s="54"/>
      <c r="F275" s="64" t="s">
        <v>100</v>
      </c>
      <c r="G275" s="55"/>
      <c r="H275" s="54"/>
      <c r="I275" s="56"/>
      <c r="J275" s="57"/>
      <c r="K275" s="58"/>
      <c r="L275" s="55"/>
      <c r="M275" s="59" t="s">
        <v>184</v>
      </c>
    </row>
    <row r="276" ht="36.75" customHeight="1">
      <c r="A276" s="36">
        <v>255.0</v>
      </c>
      <c r="B276" s="40" t="str">
        <f t="shared" si="37"/>
        <v>Mercury Spill Cleanup Regina | Call Now</v>
      </c>
      <c r="C276" s="41" t="str">
        <f t="shared" si="38"/>
        <v>/mercury-spill-cleanup-regina</v>
      </c>
      <c r="D276" s="42" t="s">
        <v>228</v>
      </c>
      <c r="E276" s="43"/>
      <c r="F276" s="64" t="s">
        <v>100</v>
      </c>
      <c r="G276" s="45"/>
      <c r="H276" s="43"/>
      <c r="I276" s="46"/>
      <c r="J276" s="47"/>
      <c r="K276" s="48"/>
      <c r="L276" s="45"/>
      <c r="M276" s="49" t="s">
        <v>184</v>
      </c>
    </row>
    <row r="277" ht="27.0" customHeight="1">
      <c r="A277" s="61" t="s">
        <v>326</v>
      </c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6"/>
    </row>
    <row r="278" ht="36.75" customHeight="1">
      <c r="A278" s="50">
        <v>256.0</v>
      </c>
      <c r="B278" s="51" t="str">
        <f t="shared" ref="B278:B292" si="39">PROPER(D278)&amp;" "&amp;F278&amp;" | Call Now"</f>
        <v>Emergency Spill Response Vancouver | Call Now</v>
      </c>
      <c r="C278" s="52" t="str">
        <f t="shared" ref="C278:C292" si="40">"/"&amp;SUBSTITUTE(LOWER(TRIM(D278&amp;" "&amp;F278))," ","-")</f>
        <v>/emergency-spill-response-vancouver</v>
      </c>
      <c r="D278" s="53" t="s">
        <v>43</v>
      </c>
      <c r="E278" s="54"/>
      <c r="F278" s="62" t="s">
        <v>101</v>
      </c>
      <c r="G278" s="55"/>
      <c r="H278" s="54"/>
      <c r="I278" s="56"/>
      <c r="J278" s="57"/>
      <c r="K278" s="58"/>
      <c r="L278" s="55"/>
      <c r="M278" s="59" t="s">
        <v>184</v>
      </c>
    </row>
    <row r="279" ht="36.75" customHeight="1">
      <c r="A279" s="36">
        <v>257.0</v>
      </c>
      <c r="B279" s="40" t="str">
        <f t="shared" si="39"/>
        <v>Chemical Spill Cleanup Vancouver | Call Now</v>
      </c>
      <c r="C279" s="41" t="str">
        <f t="shared" si="40"/>
        <v>/chemical-spill-cleanup-vancouver</v>
      </c>
      <c r="D279" s="42" t="s">
        <v>92</v>
      </c>
      <c r="E279" s="43"/>
      <c r="F279" s="62" t="s">
        <v>101</v>
      </c>
      <c r="G279" s="45"/>
      <c r="H279" s="43"/>
      <c r="I279" s="46"/>
      <c r="J279" s="47"/>
      <c r="K279" s="48"/>
      <c r="L279" s="45"/>
      <c r="M279" s="49" t="s">
        <v>184</v>
      </c>
    </row>
    <row r="280" ht="36.75" customHeight="1">
      <c r="A280" s="50">
        <v>258.0</v>
      </c>
      <c r="B280" s="51" t="str">
        <f t="shared" si="39"/>
        <v>Oil Spill Cleanup Vancouver | Call Now</v>
      </c>
      <c r="C280" s="52" t="str">
        <f t="shared" si="40"/>
        <v>/oil-spill-cleanup-vancouver</v>
      </c>
      <c r="D280" s="53" t="s">
        <v>186</v>
      </c>
      <c r="E280" s="54"/>
      <c r="F280" s="62" t="s">
        <v>101</v>
      </c>
      <c r="G280" s="55"/>
      <c r="H280" s="54"/>
      <c r="I280" s="56"/>
      <c r="J280" s="57"/>
      <c r="K280" s="58"/>
      <c r="L280" s="55"/>
      <c r="M280" s="59" t="s">
        <v>184</v>
      </c>
    </row>
    <row r="281" ht="36.75" customHeight="1">
      <c r="A281" s="36">
        <v>259.0</v>
      </c>
      <c r="B281" s="40" t="str">
        <f t="shared" si="39"/>
        <v>Hazmat Cleanup Vancouver | Call Now</v>
      </c>
      <c r="C281" s="41" t="str">
        <f t="shared" si="40"/>
        <v>/hazmat-cleanup-vancouver</v>
      </c>
      <c r="D281" s="42" t="s">
        <v>76</v>
      </c>
      <c r="E281" s="43"/>
      <c r="F281" s="62" t="s">
        <v>101</v>
      </c>
      <c r="G281" s="45"/>
      <c r="H281" s="43"/>
      <c r="I281" s="46"/>
      <c r="J281" s="47"/>
      <c r="K281" s="48"/>
      <c r="L281" s="45"/>
      <c r="M281" s="49" t="s">
        <v>184</v>
      </c>
    </row>
    <row r="282" ht="36.75" customHeight="1">
      <c r="A282" s="50">
        <v>260.0</v>
      </c>
      <c r="B282" s="51" t="str">
        <f t="shared" si="39"/>
        <v>Soil Remediation Services Vancouver | Call Now</v>
      </c>
      <c r="C282" s="52" t="str">
        <f t="shared" si="40"/>
        <v>/soil-remediation-services-vancouver</v>
      </c>
      <c r="D282" s="53" t="s">
        <v>178</v>
      </c>
      <c r="E282" s="54"/>
      <c r="F282" s="62" t="s">
        <v>101</v>
      </c>
      <c r="G282" s="55"/>
      <c r="H282" s="54"/>
      <c r="I282" s="56"/>
      <c r="J282" s="57"/>
      <c r="K282" s="58"/>
      <c r="L282" s="55"/>
      <c r="M282" s="59" t="s">
        <v>184</v>
      </c>
    </row>
    <row r="283" ht="36.75" customHeight="1">
      <c r="A283" s="36">
        <v>261.0</v>
      </c>
      <c r="B283" s="40" t="str">
        <f t="shared" si="39"/>
        <v>Contaminated Soil Removal Vancouver | Call Now</v>
      </c>
      <c r="C283" s="41" t="str">
        <f t="shared" si="40"/>
        <v>/contaminated-soil-removal-vancouver</v>
      </c>
      <c r="D283" s="42" t="s">
        <v>181</v>
      </c>
      <c r="E283" s="43"/>
      <c r="F283" s="62" t="s">
        <v>101</v>
      </c>
      <c r="G283" s="45"/>
      <c r="H283" s="43"/>
      <c r="I283" s="46"/>
      <c r="J283" s="47"/>
      <c r="K283" s="48"/>
      <c r="L283" s="45"/>
      <c r="M283" s="49" t="s">
        <v>184</v>
      </c>
    </row>
    <row r="284" ht="36.75" customHeight="1">
      <c r="A284" s="50">
        <v>262.0</v>
      </c>
      <c r="B284" s="51" t="str">
        <f t="shared" si="39"/>
        <v>Hazardous Waste Cleanup Vancouver | Call Now</v>
      </c>
      <c r="C284" s="52" t="str">
        <f t="shared" si="40"/>
        <v>/hazardous-waste-cleanup-vancouver</v>
      </c>
      <c r="D284" s="53" t="s">
        <v>83</v>
      </c>
      <c r="E284" s="54"/>
      <c r="F284" s="62" t="s">
        <v>101</v>
      </c>
      <c r="G284" s="55"/>
      <c r="H284" s="54"/>
      <c r="I284" s="56"/>
      <c r="J284" s="57"/>
      <c r="K284" s="58"/>
      <c r="L284" s="55"/>
      <c r="M284" s="59" t="s">
        <v>184</v>
      </c>
    </row>
    <row r="285" ht="36.75" customHeight="1">
      <c r="A285" s="36">
        <v>263.0</v>
      </c>
      <c r="B285" s="40" t="str">
        <f t="shared" si="39"/>
        <v>Industrial Spill Cleanup Vancouver | Call Now</v>
      </c>
      <c r="C285" s="41" t="str">
        <f t="shared" si="40"/>
        <v>/industrial-spill-cleanup-vancouver</v>
      </c>
      <c r="D285" s="42" t="s">
        <v>163</v>
      </c>
      <c r="E285" s="43"/>
      <c r="F285" s="62" t="s">
        <v>101</v>
      </c>
      <c r="G285" s="45"/>
      <c r="H285" s="43"/>
      <c r="I285" s="46"/>
      <c r="J285" s="47"/>
      <c r="K285" s="48"/>
      <c r="L285" s="45"/>
      <c r="M285" s="49" t="s">
        <v>184</v>
      </c>
    </row>
    <row r="286" ht="36.75" customHeight="1">
      <c r="A286" s="50">
        <v>264.0</v>
      </c>
      <c r="B286" s="51" t="str">
        <f t="shared" si="39"/>
        <v>Industrial Chemical Spill Cleanup Vancouver | Call Now</v>
      </c>
      <c r="C286" s="52" t="str">
        <f t="shared" si="40"/>
        <v>/industrial-chemical-spill-cleanup-vancouver</v>
      </c>
      <c r="D286" s="53" t="s">
        <v>211</v>
      </c>
      <c r="E286" s="54"/>
      <c r="F286" s="62" t="s">
        <v>101</v>
      </c>
      <c r="G286" s="55"/>
      <c r="H286" s="54"/>
      <c r="I286" s="56"/>
      <c r="J286" s="57"/>
      <c r="K286" s="58"/>
      <c r="L286" s="55"/>
      <c r="M286" s="59" t="s">
        <v>184</v>
      </c>
    </row>
    <row r="287" ht="36.75" customHeight="1">
      <c r="A287" s="36">
        <v>265.0</v>
      </c>
      <c r="B287" s="40" t="str">
        <f t="shared" si="39"/>
        <v>Environmental Spill Response Vancouver | Call Now</v>
      </c>
      <c r="C287" s="41" t="str">
        <f t="shared" si="40"/>
        <v>/environmental-spill-response-vancouver</v>
      </c>
      <c r="D287" s="42" t="s">
        <v>115</v>
      </c>
      <c r="E287" s="43"/>
      <c r="F287" s="62" t="s">
        <v>101</v>
      </c>
      <c r="G287" s="45"/>
      <c r="H287" s="43"/>
      <c r="I287" s="46"/>
      <c r="J287" s="47"/>
      <c r="K287" s="48"/>
      <c r="L287" s="45"/>
      <c r="M287" s="49" t="s">
        <v>184</v>
      </c>
    </row>
    <row r="288" ht="36.75" customHeight="1">
      <c r="A288" s="50">
        <v>266.0</v>
      </c>
      <c r="B288" s="51" t="str">
        <f t="shared" si="39"/>
        <v>Fuel Spill Cleanup Vancouver | Call Now</v>
      </c>
      <c r="C288" s="52" t="str">
        <f t="shared" si="40"/>
        <v>/fuel-spill-cleanup-vancouver</v>
      </c>
      <c r="D288" s="53" t="s">
        <v>224</v>
      </c>
      <c r="E288" s="54"/>
      <c r="F288" s="62" t="s">
        <v>101</v>
      </c>
      <c r="G288" s="55"/>
      <c r="H288" s="54"/>
      <c r="I288" s="56"/>
      <c r="J288" s="57"/>
      <c r="K288" s="58"/>
      <c r="L288" s="55"/>
      <c r="M288" s="59" t="s">
        <v>184</v>
      </c>
    </row>
    <row r="289" ht="36.75" customHeight="1">
      <c r="A289" s="36">
        <v>267.0</v>
      </c>
      <c r="B289" s="40" t="str">
        <f t="shared" si="39"/>
        <v>Gasoline Spill Cleanup Vancouver | Call Now</v>
      </c>
      <c r="C289" s="41" t="str">
        <f t="shared" si="40"/>
        <v>/gasoline-spill-cleanup-vancouver</v>
      </c>
      <c r="D289" s="42" t="s">
        <v>188</v>
      </c>
      <c r="E289" s="43"/>
      <c r="F289" s="64" t="s">
        <v>101</v>
      </c>
      <c r="G289" s="45"/>
      <c r="H289" s="43"/>
      <c r="I289" s="46"/>
      <c r="J289" s="47"/>
      <c r="K289" s="48"/>
      <c r="L289" s="45"/>
      <c r="M289" s="49" t="s">
        <v>184</v>
      </c>
    </row>
    <row r="290" ht="36.75" customHeight="1">
      <c r="A290" s="50">
        <v>268.0</v>
      </c>
      <c r="B290" s="51" t="str">
        <f t="shared" si="39"/>
        <v>Diesel Spill Cleanup Vancouver | Call Now</v>
      </c>
      <c r="C290" s="52" t="str">
        <f t="shared" si="40"/>
        <v>/diesel-spill-cleanup-vancouver</v>
      </c>
      <c r="D290" s="53" t="s">
        <v>237</v>
      </c>
      <c r="E290" s="54"/>
      <c r="F290" s="64" t="s">
        <v>101</v>
      </c>
      <c r="G290" s="55"/>
      <c r="H290" s="54"/>
      <c r="I290" s="56"/>
      <c r="J290" s="57"/>
      <c r="K290" s="58"/>
      <c r="L290" s="55"/>
      <c r="M290" s="59" t="s">
        <v>184</v>
      </c>
    </row>
    <row r="291" ht="36.75" customHeight="1">
      <c r="A291" s="36">
        <v>269.0</v>
      </c>
      <c r="B291" s="40" t="str">
        <f t="shared" si="39"/>
        <v>Hydraulic Oil Spill Cleanup Vancouver | Call Now</v>
      </c>
      <c r="C291" s="41" t="str">
        <f t="shared" si="40"/>
        <v>/hydraulic-oil-spill-cleanup-vancouver</v>
      </c>
      <c r="D291" s="42" t="s">
        <v>205</v>
      </c>
      <c r="E291" s="43"/>
      <c r="F291" s="64" t="s">
        <v>101</v>
      </c>
      <c r="G291" s="45"/>
      <c r="H291" s="43"/>
      <c r="I291" s="46"/>
      <c r="J291" s="47"/>
      <c r="K291" s="48"/>
      <c r="L291" s="45"/>
      <c r="M291" s="49" t="s">
        <v>184</v>
      </c>
    </row>
    <row r="292" ht="36.75" customHeight="1">
      <c r="A292" s="50">
        <v>270.0</v>
      </c>
      <c r="B292" s="51" t="str">
        <f t="shared" si="39"/>
        <v>Mercury Spill Cleanup Vancouver | Call Now</v>
      </c>
      <c r="C292" s="52" t="str">
        <f t="shared" si="40"/>
        <v>/mercury-spill-cleanup-vancouver</v>
      </c>
      <c r="D292" s="53" t="s">
        <v>228</v>
      </c>
      <c r="E292" s="54"/>
      <c r="F292" s="64" t="s">
        <v>101</v>
      </c>
      <c r="G292" s="55"/>
      <c r="H292" s="54"/>
      <c r="I292" s="56"/>
      <c r="J292" s="57"/>
      <c r="K292" s="58"/>
      <c r="L292" s="55"/>
      <c r="M292" s="59" t="s">
        <v>184</v>
      </c>
    </row>
    <row r="293" ht="27.0" customHeight="1">
      <c r="A293" s="61" t="s">
        <v>327</v>
      </c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6"/>
    </row>
    <row r="294" ht="36.75" customHeight="1">
      <c r="A294" s="36">
        <v>271.0</v>
      </c>
      <c r="B294" s="40" t="str">
        <f t="shared" ref="B294:B308" si="41">PROPER(D294)&amp;" "&amp;F294&amp;" | Call Now"</f>
        <v>Emergency Spill Response Vaughan | Call Now</v>
      </c>
      <c r="C294" s="41" t="str">
        <f t="shared" ref="C294:C308" si="42">"/"&amp;SUBSTITUTE(LOWER(TRIM(D294&amp;" "&amp;F294))," ","-")</f>
        <v>/emergency-spill-response-vaughan</v>
      </c>
      <c r="D294" s="42" t="s">
        <v>43</v>
      </c>
      <c r="E294" s="43"/>
      <c r="F294" s="62" t="s">
        <v>105</v>
      </c>
      <c r="G294" s="45"/>
      <c r="H294" s="43"/>
      <c r="I294" s="46"/>
      <c r="J294" s="47"/>
      <c r="K294" s="48"/>
      <c r="L294" s="45"/>
      <c r="M294" s="49" t="s">
        <v>184</v>
      </c>
    </row>
    <row r="295" ht="36.75" customHeight="1">
      <c r="A295" s="50">
        <v>272.0</v>
      </c>
      <c r="B295" s="51" t="str">
        <f t="shared" si="41"/>
        <v>Chemical Spill Cleanup Vaughan | Call Now</v>
      </c>
      <c r="C295" s="52" t="str">
        <f t="shared" si="42"/>
        <v>/chemical-spill-cleanup-vaughan</v>
      </c>
      <c r="D295" s="53" t="s">
        <v>92</v>
      </c>
      <c r="E295" s="54"/>
      <c r="F295" s="62" t="s">
        <v>105</v>
      </c>
      <c r="G295" s="55"/>
      <c r="H295" s="54"/>
      <c r="I295" s="56"/>
      <c r="J295" s="57"/>
      <c r="K295" s="58"/>
      <c r="L295" s="55"/>
      <c r="M295" s="59" t="s">
        <v>184</v>
      </c>
    </row>
    <row r="296" ht="36.75" customHeight="1">
      <c r="A296" s="36">
        <v>273.0</v>
      </c>
      <c r="B296" s="40" t="str">
        <f t="shared" si="41"/>
        <v>Oil Spill Cleanup Vaughan | Call Now</v>
      </c>
      <c r="C296" s="41" t="str">
        <f t="shared" si="42"/>
        <v>/oil-spill-cleanup-vaughan</v>
      </c>
      <c r="D296" s="42" t="s">
        <v>186</v>
      </c>
      <c r="E296" s="43"/>
      <c r="F296" s="62" t="s">
        <v>105</v>
      </c>
      <c r="G296" s="45"/>
      <c r="H296" s="43"/>
      <c r="I296" s="46"/>
      <c r="J296" s="47"/>
      <c r="K296" s="48"/>
      <c r="L296" s="45"/>
      <c r="M296" s="49" t="s">
        <v>184</v>
      </c>
    </row>
    <row r="297" ht="36.75" customHeight="1">
      <c r="A297" s="50">
        <v>274.0</v>
      </c>
      <c r="B297" s="51" t="str">
        <f t="shared" si="41"/>
        <v>Hazmat Cleanup Vaughan | Call Now</v>
      </c>
      <c r="C297" s="52" t="str">
        <f t="shared" si="42"/>
        <v>/hazmat-cleanup-vaughan</v>
      </c>
      <c r="D297" s="53" t="s">
        <v>76</v>
      </c>
      <c r="E297" s="54"/>
      <c r="F297" s="62" t="s">
        <v>105</v>
      </c>
      <c r="G297" s="55"/>
      <c r="H297" s="54"/>
      <c r="I297" s="56"/>
      <c r="J297" s="57"/>
      <c r="K297" s="58"/>
      <c r="L297" s="55"/>
      <c r="M297" s="59" t="s">
        <v>184</v>
      </c>
    </row>
    <row r="298" ht="36.75" customHeight="1">
      <c r="A298" s="36">
        <v>275.0</v>
      </c>
      <c r="B298" s="40" t="str">
        <f t="shared" si="41"/>
        <v>Soil Remediation Services Vaughan | Call Now</v>
      </c>
      <c r="C298" s="41" t="str">
        <f t="shared" si="42"/>
        <v>/soil-remediation-services-vaughan</v>
      </c>
      <c r="D298" s="42" t="s">
        <v>178</v>
      </c>
      <c r="E298" s="43"/>
      <c r="F298" s="62" t="s">
        <v>105</v>
      </c>
      <c r="G298" s="45"/>
      <c r="H298" s="43"/>
      <c r="I298" s="46"/>
      <c r="J298" s="47"/>
      <c r="K298" s="48"/>
      <c r="L298" s="45"/>
      <c r="M298" s="49" t="s">
        <v>184</v>
      </c>
    </row>
    <row r="299" ht="36.75" customHeight="1">
      <c r="A299" s="50">
        <v>276.0</v>
      </c>
      <c r="B299" s="51" t="str">
        <f t="shared" si="41"/>
        <v>Contaminated Soil Removal Vaughan | Call Now</v>
      </c>
      <c r="C299" s="52" t="str">
        <f t="shared" si="42"/>
        <v>/contaminated-soil-removal-vaughan</v>
      </c>
      <c r="D299" s="53" t="s">
        <v>181</v>
      </c>
      <c r="E299" s="54"/>
      <c r="F299" s="62" t="s">
        <v>105</v>
      </c>
      <c r="G299" s="55"/>
      <c r="H299" s="54"/>
      <c r="I299" s="56"/>
      <c r="J299" s="57"/>
      <c r="K299" s="58"/>
      <c r="L299" s="55"/>
      <c r="M299" s="59" t="s">
        <v>184</v>
      </c>
    </row>
    <row r="300" ht="36.75" customHeight="1">
      <c r="A300" s="36">
        <v>277.0</v>
      </c>
      <c r="B300" s="40" t="str">
        <f t="shared" si="41"/>
        <v>Hazardous Waste Cleanup Vaughan | Call Now</v>
      </c>
      <c r="C300" s="41" t="str">
        <f t="shared" si="42"/>
        <v>/hazardous-waste-cleanup-vaughan</v>
      </c>
      <c r="D300" s="42" t="s">
        <v>83</v>
      </c>
      <c r="E300" s="43"/>
      <c r="F300" s="62" t="s">
        <v>105</v>
      </c>
      <c r="G300" s="45"/>
      <c r="H300" s="43"/>
      <c r="I300" s="46"/>
      <c r="J300" s="47"/>
      <c r="K300" s="48"/>
      <c r="L300" s="45"/>
      <c r="M300" s="49" t="s">
        <v>184</v>
      </c>
    </row>
    <row r="301" ht="36.75" customHeight="1">
      <c r="A301" s="50">
        <v>278.0</v>
      </c>
      <c r="B301" s="51" t="str">
        <f t="shared" si="41"/>
        <v>Industrial Spill Cleanup Vaughan | Call Now</v>
      </c>
      <c r="C301" s="52" t="str">
        <f t="shared" si="42"/>
        <v>/industrial-spill-cleanup-vaughan</v>
      </c>
      <c r="D301" s="53" t="s">
        <v>163</v>
      </c>
      <c r="E301" s="54"/>
      <c r="F301" s="62" t="s">
        <v>105</v>
      </c>
      <c r="G301" s="55"/>
      <c r="H301" s="54"/>
      <c r="I301" s="56"/>
      <c r="J301" s="57"/>
      <c r="K301" s="58"/>
      <c r="L301" s="55"/>
      <c r="M301" s="59" t="s">
        <v>184</v>
      </c>
    </row>
    <row r="302" ht="36.75" customHeight="1">
      <c r="A302" s="36">
        <v>279.0</v>
      </c>
      <c r="B302" s="40" t="str">
        <f t="shared" si="41"/>
        <v>Industrial Chemical Spill Cleanup Vaughan | Call Now</v>
      </c>
      <c r="C302" s="41" t="str">
        <f t="shared" si="42"/>
        <v>/industrial-chemical-spill-cleanup-vaughan</v>
      </c>
      <c r="D302" s="42" t="s">
        <v>211</v>
      </c>
      <c r="E302" s="43"/>
      <c r="F302" s="62" t="s">
        <v>105</v>
      </c>
      <c r="G302" s="45"/>
      <c r="H302" s="43"/>
      <c r="I302" s="46"/>
      <c r="J302" s="47"/>
      <c r="K302" s="48"/>
      <c r="L302" s="45"/>
      <c r="M302" s="49" t="s">
        <v>184</v>
      </c>
    </row>
    <row r="303" ht="36.75" customHeight="1">
      <c r="A303" s="50">
        <v>280.0</v>
      </c>
      <c r="B303" s="51" t="str">
        <f t="shared" si="41"/>
        <v>Environmental Spill Response Vaughan | Call Now</v>
      </c>
      <c r="C303" s="52" t="str">
        <f t="shared" si="42"/>
        <v>/environmental-spill-response-vaughan</v>
      </c>
      <c r="D303" s="53" t="s">
        <v>115</v>
      </c>
      <c r="E303" s="54"/>
      <c r="F303" s="62" t="s">
        <v>105</v>
      </c>
      <c r="G303" s="55"/>
      <c r="H303" s="54"/>
      <c r="I303" s="56"/>
      <c r="J303" s="57"/>
      <c r="K303" s="58"/>
      <c r="L303" s="55"/>
      <c r="M303" s="59" t="s">
        <v>184</v>
      </c>
    </row>
    <row r="304" ht="36.75" customHeight="1">
      <c r="A304" s="36">
        <v>281.0</v>
      </c>
      <c r="B304" s="40" t="str">
        <f t="shared" si="41"/>
        <v>Fuel Spill Cleanup Vaughan | Call Now</v>
      </c>
      <c r="C304" s="41" t="str">
        <f t="shared" si="42"/>
        <v>/fuel-spill-cleanup-vaughan</v>
      </c>
      <c r="D304" s="42" t="s">
        <v>224</v>
      </c>
      <c r="E304" s="43"/>
      <c r="F304" s="62" t="s">
        <v>105</v>
      </c>
      <c r="G304" s="45"/>
      <c r="H304" s="43"/>
      <c r="I304" s="46"/>
      <c r="J304" s="47"/>
      <c r="K304" s="48"/>
      <c r="L304" s="45"/>
      <c r="M304" s="49" t="s">
        <v>184</v>
      </c>
    </row>
    <row r="305" ht="36.75" customHeight="1">
      <c r="A305" s="50">
        <v>282.0</v>
      </c>
      <c r="B305" s="51" t="str">
        <f t="shared" si="41"/>
        <v>Gasoline Spill Cleanup Vaughan | Call Now</v>
      </c>
      <c r="C305" s="52" t="str">
        <f t="shared" si="42"/>
        <v>/gasoline-spill-cleanup-vaughan</v>
      </c>
      <c r="D305" s="53" t="s">
        <v>188</v>
      </c>
      <c r="E305" s="54"/>
      <c r="F305" s="64" t="s">
        <v>105</v>
      </c>
      <c r="G305" s="55"/>
      <c r="H305" s="54"/>
      <c r="I305" s="56"/>
      <c r="J305" s="57"/>
      <c r="K305" s="58"/>
      <c r="L305" s="55"/>
      <c r="M305" s="59" t="s">
        <v>184</v>
      </c>
    </row>
    <row r="306" ht="36.75" customHeight="1">
      <c r="A306" s="36">
        <v>283.0</v>
      </c>
      <c r="B306" s="40" t="str">
        <f t="shared" si="41"/>
        <v>Diesel Spill Cleanup Vaughan | Call Now</v>
      </c>
      <c r="C306" s="41" t="str">
        <f t="shared" si="42"/>
        <v>/diesel-spill-cleanup-vaughan</v>
      </c>
      <c r="D306" s="42" t="s">
        <v>237</v>
      </c>
      <c r="E306" s="43"/>
      <c r="F306" s="64" t="s">
        <v>105</v>
      </c>
      <c r="G306" s="45"/>
      <c r="H306" s="43"/>
      <c r="I306" s="46"/>
      <c r="J306" s="47"/>
      <c r="K306" s="48"/>
      <c r="L306" s="45"/>
      <c r="M306" s="49" t="s">
        <v>184</v>
      </c>
    </row>
    <row r="307" ht="36.75" customHeight="1">
      <c r="A307" s="50">
        <v>284.0</v>
      </c>
      <c r="B307" s="51" t="str">
        <f t="shared" si="41"/>
        <v>Hydraulic Oil Spill Cleanup Vaughan | Call Now</v>
      </c>
      <c r="C307" s="52" t="str">
        <f t="shared" si="42"/>
        <v>/hydraulic-oil-spill-cleanup-vaughan</v>
      </c>
      <c r="D307" s="53" t="s">
        <v>205</v>
      </c>
      <c r="E307" s="54"/>
      <c r="F307" s="64" t="s">
        <v>105</v>
      </c>
      <c r="G307" s="55"/>
      <c r="H307" s="54"/>
      <c r="I307" s="56"/>
      <c r="J307" s="57"/>
      <c r="K307" s="58"/>
      <c r="L307" s="55"/>
      <c r="M307" s="59" t="s">
        <v>184</v>
      </c>
    </row>
    <row r="308" ht="36.75" customHeight="1">
      <c r="A308" s="36">
        <v>285.0</v>
      </c>
      <c r="B308" s="40" t="str">
        <f t="shared" si="41"/>
        <v>Mercury Spill Cleanup Vaughan | Call Now</v>
      </c>
      <c r="C308" s="41" t="str">
        <f t="shared" si="42"/>
        <v>/mercury-spill-cleanup-vaughan</v>
      </c>
      <c r="D308" s="42" t="s">
        <v>228</v>
      </c>
      <c r="E308" s="43"/>
      <c r="F308" s="64" t="s">
        <v>105</v>
      </c>
      <c r="G308" s="45"/>
      <c r="H308" s="43"/>
      <c r="I308" s="46"/>
      <c r="J308" s="47"/>
      <c r="K308" s="48"/>
      <c r="L308" s="45"/>
      <c r="M308" s="49" t="s">
        <v>184</v>
      </c>
    </row>
    <row r="309" ht="27.0" customHeight="1">
      <c r="A309" s="61" t="s">
        <v>328</v>
      </c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6"/>
    </row>
    <row r="310" ht="36.75" customHeight="1">
      <c r="A310" s="50">
        <v>286.0</v>
      </c>
      <c r="B310" s="51" t="str">
        <f t="shared" ref="B310:B324" si="43">PROPER(D310)&amp;" "&amp;F310&amp;" | Call Now"</f>
        <v>Emergency Spill Response Etobicoke | Call Now</v>
      </c>
      <c r="C310" s="52" t="str">
        <f t="shared" ref="C310:C324" si="44">"/"&amp;SUBSTITUTE(LOWER(TRIM(D310&amp;" "&amp;F310))," ","-")</f>
        <v>/emergency-spill-response-etobicoke</v>
      </c>
      <c r="D310" s="53" t="s">
        <v>43</v>
      </c>
      <c r="E310" s="54"/>
      <c r="F310" s="62" t="s">
        <v>116</v>
      </c>
      <c r="G310" s="55"/>
      <c r="H310" s="54"/>
      <c r="I310" s="56"/>
      <c r="J310" s="57"/>
      <c r="K310" s="58"/>
      <c r="L310" s="55"/>
      <c r="M310" s="59" t="s">
        <v>184</v>
      </c>
    </row>
    <row r="311" ht="36.75" customHeight="1">
      <c r="A311" s="36">
        <v>287.0</v>
      </c>
      <c r="B311" s="40" t="str">
        <f t="shared" si="43"/>
        <v>Chemical Spill Cleanup Etobicoke | Call Now</v>
      </c>
      <c r="C311" s="41" t="str">
        <f t="shared" si="44"/>
        <v>/chemical-spill-cleanup-etobicoke</v>
      </c>
      <c r="D311" s="42" t="s">
        <v>92</v>
      </c>
      <c r="E311" s="43"/>
      <c r="F311" s="62" t="s">
        <v>116</v>
      </c>
      <c r="G311" s="45"/>
      <c r="H311" s="43"/>
      <c r="I311" s="46"/>
      <c r="J311" s="47"/>
      <c r="K311" s="48"/>
      <c r="L311" s="45"/>
      <c r="M311" s="49" t="s">
        <v>184</v>
      </c>
    </row>
    <row r="312" ht="36.75" customHeight="1">
      <c r="A312" s="50">
        <v>288.0</v>
      </c>
      <c r="B312" s="51" t="str">
        <f t="shared" si="43"/>
        <v>Oil Spill Cleanup Etobicoke | Call Now</v>
      </c>
      <c r="C312" s="52" t="str">
        <f t="shared" si="44"/>
        <v>/oil-spill-cleanup-etobicoke</v>
      </c>
      <c r="D312" s="53" t="s">
        <v>186</v>
      </c>
      <c r="E312" s="54"/>
      <c r="F312" s="62" t="s">
        <v>116</v>
      </c>
      <c r="G312" s="55"/>
      <c r="H312" s="54"/>
      <c r="I312" s="56"/>
      <c r="J312" s="57"/>
      <c r="K312" s="58"/>
      <c r="L312" s="55"/>
      <c r="M312" s="59" t="s">
        <v>184</v>
      </c>
    </row>
    <row r="313" ht="36.75" customHeight="1">
      <c r="A313" s="36">
        <v>289.0</v>
      </c>
      <c r="B313" s="40" t="str">
        <f t="shared" si="43"/>
        <v>Hazmat Cleanup Etobicoke | Call Now</v>
      </c>
      <c r="C313" s="41" t="str">
        <f t="shared" si="44"/>
        <v>/hazmat-cleanup-etobicoke</v>
      </c>
      <c r="D313" s="42" t="s">
        <v>76</v>
      </c>
      <c r="E313" s="43"/>
      <c r="F313" s="62" t="s">
        <v>116</v>
      </c>
      <c r="G313" s="45"/>
      <c r="H313" s="43"/>
      <c r="I313" s="46"/>
      <c r="J313" s="47"/>
      <c r="K313" s="48"/>
      <c r="L313" s="45"/>
      <c r="M313" s="49" t="s">
        <v>184</v>
      </c>
    </row>
    <row r="314" ht="36.75" customHeight="1">
      <c r="A314" s="50">
        <v>290.0</v>
      </c>
      <c r="B314" s="51" t="str">
        <f t="shared" si="43"/>
        <v>Soil Remediation Services Etobicoke | Call Now</v>
      </c>
      <c r="C314" s="52" t="str">
        <f t="shared" si="44"/>
        <v>/soil-remediation-services-etobicoke</v>
      </c>
      <c r="D314" s="53" t="s">
        <v>178</v>
      </c>
      <c r="E314" s="54"/>
      <c r="F314" s="62" t="s">
        <v>116</v>
      </c>
      <c r="G314" s="55"/>
      <c r="H314" s="54"/>
      <c r="I314" s="56"/>
      <c r="J314" s="57"/>
      <c r="K314" s="58"/>
      <c r="L314" s="55"/>
      <c r="M314" s="59" t="s">
        <v>184</v>
      </c>
    </row>
    <row r="315" ht="36.75" customHeight="1">
      <c r="A315" s="36">
        <v>291.0</v>
      </c>
      <c r="B315" s="40" t="str">
        <f t="shared" si="43"/>
        <v>Contaminated Soil Removal Etobicoke | Call Now</v>
      </c>
      <c r="C315" s="41" t="str">
        <f t="shared" si="44"/>
        <v>/contaminated-soil-removal-etobicoke</v>
      </c>
      <c r="D315" s="42" t="s">
        <v>181</v>
      </c>
      <c r="E315" s="43"/>
      <c r="F315" s="62" t="s">
        <v>116</v>
      </c>
      <c r="G315" s="45"/>
      <c r="H315" s="43"/>
      <c r="I315" s="46"/>
      <c r="J315" s="47"/>
      <c r="K315" s="48"/>
      <c r="L315" s="45"/>
      <c r="M315" s="49" t="s">
        <v>184</v>
      </c>
    </row>
    <row r="316" ht="36.75" customHeight="1">
      <c r="A316" s="50">
        <v>292.0</v>
      </c>
      <c r="B316" s="51" t="str">
        <f t="shared" si="43"/>
        <v>Hazardous Waste Cleanup Etobicoke | Call Now</v>
      </c>
      <c r="C316" s="52" t="str">
        <f t="shared" si="44"/>
        <v>/hazardous-waste-cleanup-etobicoke</v>
      </c>
      <c r="D316" s="53" t="s">
        <v>83</v>
      </c>
      <c r="E316" s="54"/>
      <c r="F316" s="62" t="s">
        <v>116</v>
      </c>
      <c r="G316" s="55"/>
      <c r="H316" s="54"/>
      <c r="I316" s="56"/>
      <c r="J316" s="57"/>
      <c r="K316" s="58"/>
      <c r="L316" s="55"/>
      <c r="M316" s="59" t="s">
        <v>184</v>
      </c>
    </row>
    <row r="317" ht="36.75" customHeight="1">
      <c r="A317" s="36">
        <v>293.0</v>
      </c>
      <c r="B317" s="40" t="str">
        <f t="shared" si="43"/>
        <v>Industrial Spill Cleanup Etobicoke | Call Now</v>
      </c>
      <c r="C317" s="41" t="str">
        <f t="shared" si="44"/>
        <v>/industrial-spill-cleanup-etobicoke</v>
      </c>
      <c r="D317" s="42" t="s">
        <v>163</v>
      </c>
      <c r="E317" s="43"/>
      <c r="F317" s="62" t="s">
        <v>116</v>
      </c>
      <c r="G317" s="45"/>
      <c r="H317" s="43"/>
      <c r="I317" s="46"/>
      <c r="J317" s="47"/>
      <c r="K317" s="48"/>
      <c r="L317" s="45"/>
      <c r="M317" s="49" t="s">
        <v>184</v>
      </c>
    </row>
    <row r="318" ht="36.75" customHeight="1">
      <c r="A318" s="50">
        <v>294.0</v>
      </c>
      <c r="B318" s="51" t="str">
        <f t="shared" si="43"/>
        <v>Industrial Chemical Spill Cleanup Etobicoke | Call Now</v>
      </c>
      <c r="C318" s="52" t="str">
        <f t="shared" si="44"/>
        <v>/industrial-chemical-spill-cleanup-etobicoke</v>
      </c>
      <c r="D318" s="53" t="s">
        <v>211</v>
      </c>
      <c r="E318" s="54"/>
      <c r="F318" s="62" t="s">
        <v>116</v>
      </c>
      <c r="G318" s="55"/>
      <c r="H318" s="54"/>
      <c r="I318" s="56"/>
      <c r="J318" s="57"/>
      <c r="K318" s="58"/>
      <c r="L318" s="55"/>
      <c r="M318" s="59" t="s">
        <v>184</v>
      </c>
    </row>
    <row r="319" ht="36.75" customHeight="1">
      <c r="A319" s="36">
        <v>295.0</v>
      </c>
      <c r="B319" s="40" t="str">
        <f t="shared" si="43"/>
        <v>Environmental Spill Response Etobicoke | Call Now</v>
      </c>
      <c r="C319" s="41" t="str">
        <f t="shared" si="44"/>
        <v>/environmental-spill-response-etobicoke</v>
      </c>
      <c r="D319" s="42" t="s">
        <v>115</v>
      </c>
      <c r="E319" s="43"/>
      <c r="F319" s="62" t="s">
        <v>116</v>
      </c>
      <c r="G319" s="45"/>
      <c r="H319" s="43"/>
      <c r="I319" s="46"/>
      <c r="J319" s="47"/>
      <c r="K319" s="48"/>
      <c r="L319" s="45"/>
      <c r="M319" s="49" t="s">
        <v>184</v>
      </c>
    </row>
    <row r="320" ht="36.75" customHeight="1">
      <c r="A320" s="50">
        <v>296.0</v>
      </c>
      <c r="B320" s="51" t="str">
        <f t="shared" si="43"/>
        <v>Fuel Spill Cleanup Etobicoke | Call Now</v>
      </c>
      <c r="C320" s="52" t="str">
        <f t="shared" si="44"/>
        <v>/fuel-spill-cleanup-etobicoke</v>
      </c>
      <c r="D320" s="53" t="s">
        <v>224</v>
      </c>
      <c r="E320" s="54"/>
      <c r="F320" s="62" t="s">
        <v>116</v>
      </c>
      <c r="G320" s="55"/>
      <c r="H320" s="54"/>
      <c r="I320" s="56"/>
      <c r="J320" s="57"/>
      <c r="K320" s="58"/>
      <c r="L320" s="55"/>
      <c r="M320" s="59" t="s">
        <v>184</v>
      </c>
    </row>
    <row r="321" ht="36.75" customHeight="1">
      <c r="A321" s="36">
        <v>297.0</v>
      </c>
      <c r="B321" s="40" t="str">
        <f t="shared" si="43"/>
        <v>Gasoline Spill Cleanup Etobicoke | Call Now</v>
      </c>
      <c r="C321" s="41" t="str">
        <f t="shared" si="44"/>
        <v>/gasoline-spill-cleanup-etobicoke</v>
      </c>
      <c r="D321" s="42" t="s">
        <v>188</v>
      </c>
      <c r="E321" s="43"/>
      <c r="F321" s="64" t="s">
        <v>116</v>
      </c>
      <c r="G321" s="45"/>
      <c r="H321" s="43"/>
      <c r="I321" s="46"/>
      <c r="J321" s="47"/>
      <c r="K321" s="48"/>
      <c r="L321" s="45"/>
      <c r="M321" s="49" t="s">
        <v>184</v>
      </c>
    </row>
    <row r="322" ht="36.75" customHeight="1">
      <c r="A322" s="50">
        <v>298.0</v>
      </c>
      <c r="B322" s="51" t="str">
        <f t="shared" si="43"/>
        <v>Diesel Spill Cleanup Etobicoke | Call Now</v>
      </c>
      <c r="C322" s="52" t="str">
        <f t="shared" si="44"/>
        <v>/diesel-spill-cleanup-etobicoke</v>
      </c>
      <c r="D322" s="53" t="s">
        <v>237</v>
      </c>
      <c r="E322" s="54"/>
      <c r="F322" s="64" t="s">
        <v>116</v>
      </c>
      <c r="G322" s="55"/>
      <c r="H322" s="54"/>
      <c r="I322" s="56"/>
      <c r="J322" s="57"/>
      <c r="K322" s="58"/>
      <c r="L322" s="55"/>
      <c r="M322" s="59" t="s">
        <v>184</v>
      </c>
    </row>
    <row r="323" ht="36.75" customHeight="1">
      <c r="A323" s="36">
        <v>299.0</v>
      </c>
      <c r="B323" s="40" t="str">
        <f t="shared" si="43"/>
        <v>Hydraulic Oil Spill Cleanup Etobicoke | Call Now</v>
      </c>
      <c r="C323" s="41" t="str">
        <f t="shared" si="44"/>
        <v>/hydraulic-oil-spill-cleanup-etobicoke</v>
      </c>
      <c r="D323" s="42" t="s">
        <v>205</v>
      </c>
      <c r="E323" s="43"/>
      <c r="F323" s="64" t="s">
        <v>116</v>
      </c>
      <c r="G323" s="45"/>
      <c r="H323" s="43"/>
      <c r="I323" s="46"/>
      <c r="J323" s="47"/>
      <c r="K323" s="48"/>
      <c r="L323" s="45"/>
      <c r="M323" s="49" t="s">
        <v>184</v>
      </c>
    </row>
    <row r="324" ht="36.75" customHeight="1">
      <c r="A324" s="50">
        <v>300.0</v>
      </c>
      <c r="B324" s="51" t="str">
        <f t="shared" si="43"/>
        <v>Mercury Spill Cleanup Etobicoke | Call Now</v>
      </c>
      <c r="C324" s="52" t="str">
        <f t="shared" si="44"/>
        <v>/mercury-spill-cleanup-etobicoke</v>
      </c>
      <c r="D324" s="53" t="s">
        <v>228</v>
      </c>
      <c r="E324" s="54"/>
      <c r="F324" s="64" t="s">
        <v>116</v>
      </c>
      <c r="G324" s="55"/>
      <c r="H324" s="54"/>
      <c r="I324" s="56"/>
      <c r="J324" s="57"/>
      <c r="K324" s="58"/>
      <c r="L324" s="55"/>
      <c r="M324" s="59" t="s">
        <v>184</v>
      </c>
    </row>
    <row r="325" ht="27.0" customHeight="1">
      <c r="A325" s="61" t="s">
        <v>329</v>
      </c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6"/>
    </row>
    <row r="326" ht="36.75" customHeight="1">
      <c r="A326" s="36">
        <v>301.0</v>
      </c>
      <c r="B326" s="40" t="str">
        <f t="shared" ref="B326:B340" si="45">PROPER(D326)&amp;" "&amp;F326&amp;" | Call Now"</f>
        <v>Emergency Spill Response Barrie | Call Now</v>
      </c>
      <c r="C326" s="41" t="str">
        <f t="shared" ref="C326:C340" si="46">"/"&amp;SUBSTITUTE(LOWER(TRIM(D326&amp;" "&amp;F326))," ","-")</f>
        <v>/emergency-spill-response-barrie</v>
      </c>
      <c r="D326" s="42" t="s">
        <v>43</v>
      </c>
      <c r="E326" s="43"/>
      <c r="F326" s="62" t="s">
        <v>119</v>
      </c>
      <c r="G326" s="45"/>
      <c r="H326" s="43"/>
      <c r="I326" s="46"/>
      <c r="J326" s="47"/>
      <c r="K326" s="48"/>
      <c r="L326" s="45"/>
      <c r="M326" s="49" t="s">
        <v>184</v>
      </c>
    </row>
    <row r="327" ht="36.75" customHeight="1">
      <c r="A327" s="50">
        <v>302.0</v>
      </c>
      <c r="B327" s="51" t="str">
        <f t="shared" si="45"/>
        <v>Chemical Spill Cleanup Barrie | Call Now</v>
      </c>
      <c r="C327" s="52" t="str">
        <f t="shared" si="46"/>
        <v>/chemical-spill-cleanup-barrie</v>
      </c>
      <c r="D327" s="53" t="s">
        <v>92</v>
      </c>
      <c r="E327" s="54"/>
      <c r="F327" s="62" t="s">
        <v>119</v>
      </c>
      <c r="G327" s="55"/>
      <c r="H327" s="54"/>
      <c r="I327" s="56"/>
      <c r="J327" s="57"/>
      <c r="K327" s="58"/>
      <c r="L327" s="55"/>
      <c r="M327" s="59" t="s">
        <v>184</v>
      </c>
    </row>
    <row r="328" ht="36.75" customHeight="1">
      <c r="A328" s="36">
        <v>303.0</v>
      </c>
      <c r="B328" s="40" t="str">
        <f t="shared" si="45"/>
        <v>Oil Spill Cleanup Barrie | Call Now</v>
      </c>
      <c r="C328" s="41" t="str">
        <f t="shared" si="46"/>
        <v>/oil-spill-cleanup-barrie</v>
      </c>
      <c r="D328" s="42" t="s">
        <v>186</v>
      </c>
      <c r="E328" s="43"/>
      <c r="F328" s="62" t="s">
        <v>119</v>
      </c>
      <c r="G328" s="45"/>
      <c r="H328" s="43"/>
      <c r="I328" s="46"/>
      <c r="J328" s="47"/>
      <c r="K328" s="48"/>
      <c r="L328" s="45"/>
      <c r="M328" s="49" t="s">
        <v>184</v>
      </c>
    </row>
    <row r="329" ht="36.75" customHeight="1">
      <c r="A329" s="50">
        <v>304.0</v>
      </c>
      <c r="B329" s="51" t="str">
        <f t="shared" si="45"/>
        <v>Hazmat Cleanup Barrie | Call Now</v>
      </c>
      <c r="C329" s="52" t="str">
        <f t="shared" si="46"/>
        <v>/hazmat-cleanup-barrie</v>
      </c>
      <c r="D329" s="53" t="s">
        <v>76</v>
      </c>
      <c r="E329" s="54"/>
      <c r="F329" s="62" t="s">
        <v>119</v>
      </c>
      <c r="G329" s="55"/>
      <c r="H329" s="54"/>
      <c r="I329" s="56"/>
      <c r="J329" s="57"/>
      <c r="K329" s="58"/>
      <c r="L329" s="55"/>
      <c r="M329" s="59" t="s">
        <v>184</v>
      </c>
    </row>
    <row r="330" ht="36.75" customHeight="1">
      <c r="A330" s="36">
        <v>305.0</v>
      </c>
      <c r="B330" s="40" t="str">
        <f t="shared" si="45"/>
        <v>Soil Remediation Services Barrie | Call Now</v>
      </c>
      <c r="C330" s="41" t="str">
        <f t="shared" si="46"/>
        <v>/soil-remediation-services-barrie</v>
      </c>
      <c r="D330" s="42" t="s">
        <v>178</v>
      </c>
      <c r="E330" s="43"/>
      <c r="F330" s="62" t="s">
        <v>119</v>
      </c>
      <c r="G330" s="45"/>
      <c r="H330" s="43"/>
      <c r="I330" s="46"/>
      <c r="J330" s="47"/>
      <c r="K330" s="48"/>
      <c r="L330" s="45"/>
      <c r="M330" s="49" t="s">
        <v>184</v>
      </c>
    </row>
    <row r="331" ht="36.75" customHeight="1">
      <c r="A331" s="50">
        <v>306.0</v>
      </c>
      <c r="B331" s="51" t="str">
        <f t="shared" si="45"/>
        <v>Contaminated Soil Removal Barrie | Call Now</v>
      </c>
      <c r="C331" s="52" t="str">
        <f t="shared" si="46"/>
        <v>/contaminated-soil-removal-barrie</v>
      </c>
      <c r="D331" s="53" t="s">
        <v>181</v>
      </c>
      <c r="E331" s="54"/>
      <c r="F331" s="62" t="s">
        <v>119</v>
      </c>
      <c r="G331" s="55"/>
      <c r="H331" s="54"/>
      <c r="I331" s="56"/>
      <c r="J331" s="57"/>
      <c r="K331" s="58"/>
      <c r="L331" s="55"/>
      <c r="M331" s="59" t="s">
        <v>184</v>
      </c>
    </row>
    <row r="332" ht="36.75" customHeight="1">
      <c r="A332" s="36">
        <v>307.0</v>
      </c>
      <c r="B332" s="40" t="str">
        <f t="shared" si="45"/>
        <v>Hazardous Waste Cleanup Barrie | Call Now</v>
      </c>
      <c r="C332" s="41" t="str">
        <f t="shared" si="46"/>
        <v>/hazardous-waste-cleanup-barrie</v>
      </c>
      <c r="D332" s="42" t="s">
        <v>83</v>
      </c>
      <c r="E332" s="43"/>
      <c r="F332" s="62" t="s">
        <v>119</v>
      </c>
      <c r="G332" s="45"/>
      <c r="H332" s="43"/>
      <c r="I332" s="46"/>
      <c r="J332" s="47"/>
      <c r="K332" s="48"/>
      <c r="L332" s="45"/>
      <c r="M332" s="49" t="s">
        <v>184</v>
      </c>
    </row>
    <row r="333" ht="36.75" customHeight="1">
      <c r="A333" s="50">
        <v>308.0</v>
      </c>
      <c r="B333" s="51" t="str">
        <f t="shared" si="45"/>
        <v>Industrial Spill Cleanup Barrie | Call Now</v>
      </c>
      <c r="C333" s="52" t="str">
        <f t="shared" si="46"/>
        <v>/industrial-spill-cleanup-barrie</v>
      </c>
      <c r="D333" s="53" t="s">
        <v>163</v>
      </c>
      <c r="E333" s="54"/>
      <c r="F333" s="62" t="s">
        <v>119</v>
      </c>
      <c r="G333" s="55"/>
      <c r="H333" s="54"/>
      <c r="I333" s="56"/>
      <c r="J333" s="57"/>
      <c r="K333" s="58"/>
      <c r="L333" s="55"/>
      <c r="M333" s="59" t="s">
        <v>184</v>
      </c>
    </row>
    <row r="334" ht="36.75" customHeight="1">
      <c r="A334" s="36">
        <v>309.0</v>
      </c>
      <c r="B334" s="40" t="str">
        <f t="shared" si="45"/>
        <v>Industrial Chemical Spill Cleanup Barrie | Call Now</v>
      </c>
      <c r="C334" s="41" t="str">
        <f t="shared" si="46"/>
        <v>/industrial-chemical-spill-cleanup-barrie</v>
      </c>
      <c r="D334" s="42" t="s">
        <v>211</v>
      </c>
      <c r="E334" s="43"/>
      <c r="F334" s="62" t="s">
        <v>119</v>
      </c>
      <c r="G334" s="45"/>
      <c r="H334" s="43"/>
      <c r="I334" s="46"/>
      <c r="J334" s="47"/>
      <c r="K334" s="48"/>
      <c r="L334" s="45"/>
      <c r="M334" s="49" t="s">
        <v>184</v>
      </c>
    </row>
    <row r="335" ht="36.75" customHeight="1">
      <c r="A335" s="50">
        <v>310.0</v>
      </c>
      <c r="B335" s="51" t="str">
        <f t="shared" si="45"/>
        <v>Environmental Spill Response Barrie | Call Now</v>
      </c>
      <c r="C335" s="52" t="str">
        <f t="shared" si="46"/>
        <v>/environmental-spill-response-barrie</v>
      </c>
      <c r="D335" s="53" t="s">
        <v>115</v>
      </c>
      <c r="E335" s="54"/>
      <c r="F335" s="62" t="s">
        <v>119</v>
      </c>
      <c r="G335" s="55"/>
      <c r="H335" s="54"/>
      <c r="I335" s="56"/>
      <c r="J335" s="57"/>
      <c r="K335" s="58"/>
      <c r="L335" s="55"/>
      <c r="M335" s="59" t="s">
        <v>184</v>
      </c>
    </row>
    <row r="336" ht="36.75" customHeight="1">
      <c r="A336" s="36">
        <v>311.0</v>
      </c>
      <c r="B336" s="40" t="str">
        <f t="shared" si="45"/>
        <v>Fuel Spill Cleanup Barrie | Call Now</v>
      </c>
      <c r="C336" s="41" t="str">
        <f t="shared" si="46"/>
        <v>/fuel-spill-cleanup-barrie</v>
      </c>
      <c r="D336" s="42" t="s">
        <v>224</v>
      </c>
      <c r="E336" s="43"/>
      <c r="F336" s="62" t="s">
        <v>119</v>
      </c>
      <c r="G336" s="45"/>
      <c r="H336" s="43"/>
      <c r="I336" s="46"/>
      <c r="J336" s="47"/>
      <c r="K336" s="48"/>
      <c r="L336" s="45"/>
      <c r="M336" s="49" t="s">
        <v>184</v>
      </c>
    </row>
    <row r="337" ht="36.75" customHeight="1">
      <c r="A337" s="50">
        <v>312.0</v>
      </c>
      <c r="B337" s="51" t="str">
        <f t="shared" si="45"/>
        <v>Gasoline Spill Cleanup Barrie | Call Now</v>
      </c>
      <c r="C337" s="52" t="str">
        <f t="shared" si="46"/>
        <v>/gasoline-spill-cleanup-barrie</v>
      </c>
      <c r="D337" s="53" t="s">
        <v>188</v>
      </c>
      <c r="E337" s="54"/>
      <c r="F337" s="64" t="s">
        <v>119</v>
      </c>
      <c r="G337" s="55"/>
      <c r="H337" s="54"/>
      <c r="I337" s="56"/>
      <c r="J337" s="57"/>
      <c r="K337" s="58"/>
      <c r="L337" s="55"/>
      <c r="M337" s="59" t="s">
        <v>184</v>
      </c>
    </row>
    <row r="338" ht="36.75" customHeight="1">
      <c r="A338" s="36">
        <v>313.0</v>
      </c>
      <c r="B338" s="40" t="str">
        <f t="shared" si="45"/>
        <v>Diesel Spill Cleanup Barrie | Call Now</v>
      </c>
      <c r="C338" s="41" t="str">
        <f t="shared" si="46"/>
        <v>/diesel-spill-cleanup-barrie</v>
      </c>
      <c r="D338" s="42" t="s">
        <v>237</v>
      </c>
      <c r="E338" s="43"/>
      <c r="F338" s="64" t="s">
        <v>119</v>
      </c>
      <c r="G338" s="45"/>
      <c r="H338" s="43"/>
      <c r="I338" s="46"/>
      <c r="J338" s="47"/>
      <c r="K338" s="48"/>
      <c r="L338" s="45"/>
      <c r="M338" s="49" t="s">
        <v>184</v>
      </c>
    </row>
    <row r="339" ht="36.75" customHeight="1">
      <c r="A339" s="50">
        <v>314.0</v>
      </c>
      <c r="B339" s="51" t="str">
        <f t="shared" si="45"/>
        <v>Hydraulic Oil Spill Cleanup Barrie | Call Now</v>
      </c>
      <c r="C339" s="52" t="str">
        <f t="shared" si="46"/>
        <v>/hydraulic-oil-spill-cleanup-barrie</v>
      </c>
      <c r="D339" s="53" t="s">
        <v>205</v>
      </c>
      <c r="E339" s="54"/>
      <c r="F339" s="64" t="s">
        <v>119</v>
      </c>
      <c r="G339" s="55"/>
      <c r="H339" s="54"/>
      <c r="I339" s="56"/>
      <c r="J339" s="57"/>
      <c r="K339" s="58"/>
      <c r="L339" s="55"/>
      <c r="M339" s="59" t="s">
        <v>184</v>
      </c>
    </row>
    <row r="340" ht="36.75" customHeight="1">
      <c r="A340" s="36">
        <v>315.0</v>
      </c>
      <c r="B340" s="40" t="str">
        <f t="shared" si="45"/>
        <v>Mercury Spill Cleanup Barrie | Call Now</v>
      </c>
      <c r="C340" s="41" t="str">
        <f t="shared" si="46"/>
        <v>/mercury-spill-cleanup-barrie</v>
      </c>
      <c r="D340" s="42" t="s">
        <v>228</v>
      </c>
      <c r="E340" s="43"/>
      <c r="F340" s="64" t="s">
        <v>119</v>
      </c>
      <c r="G340" s="45"/>
      <c r="H340" s="43"/>
      <c r="I340" s="46"/>
      <c r="J340" s="47"/>
      <c r="K340" s="48"/>
      <c r="L340" s="45"/>
      <c r="M340" s="49" t="s">
        <v>184</v>
      </c>
    </row>
    <row r="341" ht="27.0" customHeight="1">
      <c r="A341" s="61" t="s">
        <v>330</v>
      </c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6"/>
    </row>
    <row r="342" ht="36.75" customHeight="1">
      <c r="A342" s="50">
        <v>316.0</v>
      </c>
      <c r="B342" s="51" t="str">
        <f t="shared" ref="B342:B356" si="47">PROPER(D342)&amp;" "&amp;F342&amp;" | Call Now"</f>
        <v>Emergency Spill Response Woodbridge | Call Now</v>
      </c>
      <c r="C342" s="52" t="str">
        <f t="shared" ref="C342:C356" si="48">"/"&amp;SUBSTITUTE(LOWER(TRIM(D342&amp;" "&amp;F342))," ","-")</f>
        <v>/emergency-spill-response-woodbridge</v>
      </c>
      <c r="D342" s="53" t="s">
        <v>43</v>
      </c>
      <c r="E342" s="54"/>
      <c r="F342" s="62" t="s">
        <v>125</v>
      </c>
      <c r="G342" s="55"/>
      <c r="H342" s="54"/>
      <c r="I342" s="56"/>
      <c r="J342" s="57"/>
      <c r="K342" s="58"/>
      <c r="L342" s="55"/>
      <c r="M342" s="59" t="s">
        <v>184</v>
      </c>
    </row>
    <row r="343" ht="36.75" customHeight="1">
      <c r="A343" s="36">
        <v>317.0</v>
      </c>
      <c r="B343" s="40" t="str">
        <f t="shared" si="47"/>
        <v>Chemical Spill Cleanup Woodbridge | Call Now</v>
      </c>
      <c r="C343" s="41" t="str">
        <f t="shared" si="48"/>
        <v>/chemical-spill-cleanup-woodbridge</v>
      </c>
      <c r="D343" s="42" t="s">
        <v>92</v>
      </c>
      <c r="E343" s="43"/>
      <c r="F343" s="62" t="s">
        <v>125</v>
      </c>
      <c r="G343" s="45"/>
      <c r="H343" s="43"/>
      <c r="I343" s="46"/>
      <c r="J343" s="47"/>
      <c r="K343" s="48"/>
      <c r="L343" s="45"/>
      <c r="M343" s="49" t="s">
        <v>184</v>
      </c>
    </row>
    <row r="344" ht="36.75" customHeight="1">
      <c r="A344" s="50">
        <v>318.0</v>
      </c>
      <c r="B344" s="51" t="str">
        <f t="shared" si="47"/>
        <v>Oil Spill Cleanup Woodbridge | Call Now</v>
      </c>
      <c r="C344" s="52" t="str">
        <f t="shared" si="48"/>
        <v>/oil-spill-cleanup-woodbridge</v>
      </c>
      <c r="D344" s="53" t="s">
        <v>186</v>
      </c>
      <c r="E344" s="54"/>
      <c r="F344" s="62" t="s">
        <v>125</v>
      </c>
      <c r="G344" s="55"/>
      <c r="H344" s="54"/>
      <c r="I344" s="56"/>
      <c r="J344" s="57"/>
      <c r="K344" s="58"/>
      <c r="L344" s="55"/>
      <c r="M344" s="59" t="s">
        <v>184</v>
      </c>
    </row>
    <row r="345" ht="36.75" customHeight="1">
      <c r="A345" s="36">
        <v>319.0</v>
      </c>
      <c r="B345" s="40" t="str">
        <f t="shared" si="47"/>
        <v>Hazmat Cleanup Woodbridge | Call Now</v>
      </c>
      <c r="C345" s="41" t="str">
        <f t="shared" si="48"/>
        <v>/hazmat-cleanup-woodbridge</v>
      </c>
      <c r="D345" s="42" t="s">
        <v>76</v>
      </c>
      <c r="E345" s="43"/>
      <c r="F345" s="62" t="s">
        <v>125</v>
      </c>
      <c r="G345" s="45"/>
      <c r="H345" s="43"/>
      <c r="I345" s="46"/>
      <c r="J345" s="47"/>
      <c r="K345" s="48"/>
      <c r="L345" s="45"/>
      <c r="M345" s="49" t="s">
        <v>184</v>
      </c>
    </row>
    <row r="346" ht="36.75" customHeight="1">
      <c r="A346" s="50">
        <v>320.0</v>
      </c>
      <c r="B346" s="51" t="str">
        <f t="shared" si="47"/>
        <v>Soil Remediation Services Woodbridge | Call Now</v>
      </c>
      <c r="C346" s="52" t="str">
        <f t="shared" si="48"/>
        <v>/soil-remediation-services-woodbridge</v>
      </c>
      <c r="D346" s="53" t="s">
        <v>178</v>
      </c>
      <c r="E346" s="54"/>
      <c r="F346" s="62" t="s">
        <v>125</v>
      </c>
      <c r="G346" s="55"/>
      <c r="H346" s="54"/>
      <c r="I346" s="56"/>
      <c r="J346" s="57"/>
      <c r="K346" s="58"/>
      <c r="L346" s="55"/>
      <c r="M346" s="59" t="s">
        <v>184</v>
      </c>
    </row>
    <row r="347" ht="36.75" customHeight="1">
      <c r="A347" s="36">
        <v>321.0</v>
      </c>
      <c r="B347" s="40" t="str">
        <f t="shared" si="47"/>
        <v>Contaminated Soil Removal Woodbridge | Call Now</v>
      </c>
      <c r="C347" s="41" t="str">
        <f t="shared" si="48"/>
        <v>/contaminated-soil-removal-woodbridge</v>
      </c>
      <c r="D347" s="42" t="s">
        <v>181</v>
      </c>
      <c r="E347" s="43"/>
      <c r="F347" s="62" t="s">
        <v>125</v>
      </c>
      <c r="G347" s="45"/>
      <c r="H347" s="43"/>
      <c r="I347" s="46"/>
      <c r="J347" s="47"/>
      <c r="K347" s="48"/>
      <c r="L347" s="45"/>
      <c r="M347" s="49" t="s">
        <v>184</v>
      </c>
    </row>
    <row r="348" ht="36.75" customHeight="1">
      <c r="A348" s="50">
        <v>322.0</v>
      </c>
      <c r="B348" s="51" t="str">
        <f t="shared" si="47"/>
        <v>Hazardous Waste Cleanup Woodbridge | Call Now</v>
      </c>
      <c r="C348" s="52" t="str">
        <f t="shared" si="48"/>
        <v>/hazardous-waste-cleanup-woodbridge</v>
      </c>
      <c r="D348" s="53" t="s">
        <v>83</v>
      </c>
      <c r="E348" s="54"/>
      <c r="F348" s="62" t="s">
        <v>125</v>
      </c>
      <c r="G348" s="55"/>
      <c r="H348" s="54"/>
      <c r="I348" s="56"/>
      <c r="J348" s="57"/>
      <c r="K348" s="58"/>
      <c r="L348" s="55"/>
      <c r="M348" s="59" t="s">
        <v>184</v>
      </c>
    </row>
    <row r="349" ht="36.75" customHeight="1">
      <c r="A349" s="36">
        <v>323.0</v>
      </c>
      <c r="B349" s="40" t="str">
        <f t="shared" si="47"/>
        <v>Industrial Spill Cleanup Woodbridge | Call Now</v>
      </c>
      <c r="C349" s="41" t="str">
        <f t="shared" si="48"/>
        <v>/industrial-spill-cleanup-woodbridge</v>
      </c>
      <c r="D349" s="42" t="s">
        <v>163</v>
      </c>
      <c r="E349" s="43"/>
      <c r="F349" s="62" t="s">
        <v>125</v>
      </c>
      <c r="G349" s="45"/>
      <c r="H349" s="43"/>
      <c r="I349" s="46"/>
      <c r="J349" s="47"/>
      <c r="K349" s="48"/>
      <c r="L349" s="45"/>
      <c r="M349" s="49" t="s">
        <v>184</v>
      </c>
    </row>
    <row r="350" ht="36.75" customHeight="1">
      <c r="A350" s="50">
        <v>324.0</v>
      </c>
      <c r="B350" s="51" t="str">
        <f t="shared" si="47"/>
        <v>Industrial Chemical Spill Cleanup Woodbridge | Call Now</v>
      </c>
      <c r="C350" s="52" t="str">
        <f t="shared" si="48"/>
        <v>/industrial-chemical-spill-cleanup-woodbridge</v>
      </c>
      <c r="D350" s="53" t="s">
        <v>211</v>
      </c>
      <c r="E350" s="54"/>
      <c r="F350" s="62" t="s">
        <v>125</v>
      </c>
      <c r="G350" s="55"/>
      <c r="H350" s="54"/>
      <c r="I350" s="56"/>
      <c r="J350" s="57"/>
      <c r="K350" s="58"/>
      <c r="L350" s="55"/>
      <c r="M350" s="59" t="s">
        <v>184</v>
      </c>
    </row>
    <row r="351" ht="36.75" customHeight="1">
      <c r="A351" s="36">
        <v>325.0</v>
      </c>
      <c r="B351" s="40" t="str">
        <f t="shared" si="47"/>
        <v>Environmental Spill Response Woodbridge | Call Now</v>
      </c>
      <c r="C351" s="41" t="str">
        <f t="shared" si="48"/>
        <v>/environmental-spill-response-woodbridge</v>
      </c>
      <c r="D351" s="42" t="s">
        <v>115</v>
      </c>
      <c r="E351" s="43"/>
      <c r="F351" s="62" t="s">
        <v>125</v>
      </c>
      <c r="G351" s="45"/>
      <c r="H351" s="43"/>
      <c r="I351" s="46"/>
      <c r="J351" s="47"/>
      <c r="K351" s="48"/>
      <c r="L351" s="45"/>
      <c r="M351" s="49" t="s">
        <v>184</v>
      </c>
    </row>
    <row r="352" ht="36.75" customHeight="1">
      <c r="A352" s="50">
        <v>326.0</v>
      </c>
      <c r="B352" s="51" t="str">
        <f t="shared" si="47"/>
        <v>Fuel Spill Cleanup Woodbridge | Call Now</v>
      </c>
      <c r="C352" s="52" t="str">
        <f t="shared" si="48"/>
        <v>/fuel-spill-cleanup-woodbridge</v>
      </c>
      <c r="D352" s="53" t="s">
        <v>224</v>
      </c>
      <c r="E352" s="54"/>
      <c r="F352" s="62" t="s">
        <v>125</v>
      </c>
      <c r="G352" s="55"/>
      <c r="H352" s="54"/>
      <c r="I352" s="56"/>
      <c r="J352" s="57"/>
      <c r="K352" s="58"/>
      <c r="L352" s="55"/>
      <c r="M352" s="59" t="s">
        <v>184</v>
      </c>
    </row>
    <row r="353" ht="36.75" customHeight="1">
      <c r="A353" s="36">
        <v>327.0</v>
      </c>
      <c r="B353" s="40" t="str">
        <f t="shared" si="47"/>
        <v>Gasoline Spill Cleanup Woodbridge | Call Now</v>
      </c>
      <c r="C353" s="41" t="str">
        <f t="shared" si="48"/>
        <v>/gasoline-spill-cleanup-woodbridge</v>
      </c>
      <c r="D353" s="42" t="s">
        <v>188</v>
      </c>
      <c r="E353" s="43"/>
      <c r="F353" s="64" t="s">
        <v>125</v>
      </c>
      <c r="G353" s="45"/>
      <c r="H353" s="43"/>
      <c r="I353" s="46"/>
      <c r="J353" s="47"/>
      <c r="K353" s="48"/>
      <c r="L353" s="45"/>
      <c r="M353" s="49" t="s">
        <v>184</v>
      </c>
    </row>
    <row r="354" ht="36.75" customHeight="1">
      <c r="A354" s="50">
        <v>328.0</v>
      </c>
      <c r="B354" s="51" t="str">
        <f t="shared" si="47"/>
        <v>Diesel Spill Cleanup Woodbridge | Call Now</v>
      </c>
      <c r="C354" s="52" t="str">
        <f t="shared" si="48"/>
        <v>/diesel-spill-cleanup-woodbridge</v>
      </c>
      <c r="D354" s="53" t="s">
        <v>237</v>
      </c>
      <c r="E354" s="54"/>
      <c r="F354" s="64" t="s">
        <v>125</v>
      </c>
      <c r="G354" s="55"/>
      <c r="H354" s="54"/>
      <c r="I354" s="56"/>
      <c r="J354" s="57"/>
      <c r="K354" s="58"/>
      <c r="L354" s="55"/>
      <c r="M354" s="59" t="s">
        <v>184</v>
      </c>
    </row>
    <row r="355" ht="36.75" customHeight="1">
      <c r="A355" s="36">
        <v>329.0</v>
      </c>
      <c r="B355" s="40" t="str">
        <f t="shared" si="47"/>
        <v>Hydraulic Oil Spill Cleanup Woodbridge | Call Now</v>
      </c>
      <c r="C355" s="41" t="str">
        <f t="shared" si="48"/>
        <v>/hydraulic-oil-spill-cleanup-woodbridge</v>
      </c>
      <c r="D355" s="42" t="s">
        <v>205</v>
      </c>
      <c r="E355" s="43"/>
      <c r="F355" s="64" t="s">
        <v>125</v>
      </c>
      <c r="G355" s="45"/>
      <c r="H355" s="43"/>
      <c r="I355" s="46"/>
      <c r="J355" s="47"/>
      <c r="K355" s="48"/>
      <c r="L355" s="45"/>
      <c r="M355" s="49" t="s">
        <v>184</v>
      </c>
    </row>
    <row r="356" ht="36.75" customHeight="1">
      <c r="A356" s="50">
        <v>330.0</v>
      </c>
      <c r="B356" s="51" t="str">
        <f t="shared" si="47"/>
        <v>Mercury Spill Cleanup Woodbridge | Call Now</v>
      </c>
      <c r="C356" s="52" t="str">
        <f t="shared" si="48"/>
        <v>/mercury-spill-cleanup-woodbridge</v>
      </c>
      <c r="D356" s="53" t="s">
        <v>228</v>
      </c>
      <c r="E356" s="54"/>
      <c r="F356" s="64" t="s">
        <v>125</v>
      </c>
      <c r="G356" s="55"/>
      <c r="H356" s="54"/>
      <c r="I356" s="56"/>
      <c r="J356" s="57"/>
      <c r="K356" s="58"/>
      <c r="L356" s="55"/>
      <c r="M356" s="59" t="s">
        <v>184</v>
      </c>
    </row>
    <row r="357" ht="27.0" customHeight="1">
      <c r="A357" s="61" t="s">
        <v>331</v>
      </c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6"/>
    </row>
    <row r="358" ht="36.75" customHeight="1">
      <c r="A358" s="36">
        <v>331.0</v>
      </c>
      <c r="B358" s="40" t="str">
        <f t="shared" ref="B358:B372" si="49">PROPER(D358)&amp;" "&amp;F358&amp;" | Call Now"</f>
        <v>Emergency Spill Response Thornhill | Call Now</v>
      </c>
      <c r="C358" s="41" t="str">
        <f t="shared" ref="C358:C372" si="50">"/"&amp;SUBSTITUTE(LOWER(TRIM(D358&amp;" "&amp;F358))," ","-")</f>
        <v>/emergency-spill-response-thornhill</v>
      </c>
      <c r="D358" s="42" t="s">
        <v>43</v>
      </c>
      <c r="E358" s="43"/>
      <c r="F358" s="62" t="s">
        <v>127</v>
      </c>
      <c r="G358" s="45"/>
      <c r="H358" s="43"/>
      <c r="I358" s="46"/>
      <c r="J358" s="47"/>
      <c r="K358" s="48"/>
      <c r="L358" s="45"/>
      <c r="M358" s="49" t="s">
        <v>184</v>
      </c>
    </row>
    <row r="359" ht="36.75" customHeight="1">
      <c r="A359" s="50">
        <v>332.0</v>
      </c>
      <c r="B359" s="51" t="str">
        <f t="shared" si="49"/>
        <v>Chemical Spill Cleanup Thornhill | Call Now</v>
      </c>
      <c r="C359" s="52" t="str">
        <f t="shared" si="50"/>
        <v>/chemical-spill-cleanup-thornhill</v>
      </c>
      <c r="D359" s="53" t="s">
        <v>92</v>
      </c>
      <c r="E359" s="54"/>
      <c r="F359" s="62" t="s">
        <v>127</v>
      </c>
      <c r="G359" s="55"/>
      <c r="H359" s="54"/>
      <c r="I359" s="56"/>
      <c r="J359" s="57"/>
      <c r="K359" s="58"/>
      <c r="L359" s="55"/>
      <c r="M359" s="59" t="s">
        <v>184</v>
      </c>
    </row>
    <row r="360" ht="36.75" customHeight="1">
      <c r="A360" s="36">
        <v>333.0</v>
      </c>
      <c r="B360" s="40" t="str">
        <f t="shared" si="49"/>
        <v>Oil Spill Cleanup Thornhill | Call Now</v>
      </c>
      <c r="C360" s="41" t="str">
        <f t="shared" si="50"/>
        <v>/oil-spill-cleanup-thornhill</v>
      </c>
      <c r="D360" s="42" t="s">
        <v>186</v>
      </c>
      <c r="E360" s="43"/>
      <c r="F360" s="62" t="s">
        <v>127</v>
      </c>
      <c r="G360" s="45"/>
      <c r="H360" s="43"/>
      <c r="I360" s="46"/>
      <c r="J360" s="47"/>
      <c r="K360" s="48"/>
      <c r="L360" s="45"/>
      <c r="M360" s="49" t="s">
        <v>184</v>
      </c>
    </row>
    <row r="361" ht="36.75" customHeight="1">
      <c r="A361" s="50">
        <v>334.0</v>
      </c>
      <c r="B361" s="51" t="str">
        <f t="shared" si="49"/>
        <v>Hazmat Cleanup Thornhill | Call Now</v>
      </c>
      <c r="C361" s="52" t="str">
        <f t="shared" si="50"/>
        <v>/hazmat-cleanup-thornhill</v>
      </c>
      <c r="D361" s="53" t="s">
        <v>76</v>
      </c>
      <c r="E361" s="54"/>
      <c r="F361" s="62" t="s">
        <v>127</v>
      </c>
      <c r="G361" s="55"/>
      <c r="H361" s="54"/>
      <c r="I361" s="56"/>
      <c r="J361" s="57"/>
      <c r="K361" s="58"/>
      <c r="L361" s="55"/>
      <c r="M361" s="59" t="s">
        <v>184</v>
      </c>
    </row>
    <row r="362" ht="36.75" customHeight="1">
      <c r="A362" s="36">
        <v>335.0</v>
      </c>
      <c r="B362" s="40" t="str">
        <f t="shared" si="49"/>
        <v>Soil Remediation Services Thornhill | Call Now</v>
      </c>
      <c r="C362" s="41" t="str">
        <f t="shared" si="50"/>
        <v>/soil-remediation-services-thornhill</v>
      </c>
      <c r="D362" s="42" t="s">
        <v>178</v>
      </c>
      <c r="E362" s="43"/>
      <c r="F362" s="62" t="s">
        <v>127</v>
      </c>
      <c r="G362" s="45"/>
      <c r="H362" s="43"/>
      <c r="I362" s="46"/>
      <c r="J362" s="47"/>
      <c r="K362" s="48"/>
      <c r="L362" s="45"/>
      <c r="M362" s="49" t="s">
        <v>184</v>
      </c>
    </row>
    <row r="363" ht="36.75" customHeight="1">
      <c r="A363" s="50">
        <v>336.0</v>
      </c>
      <c r="B363" s="51" t="str">
        <f t="shared" si="49"/>
        <v>Contaminated Soil Removal Thornhill | Call Now</v>
      </c>
      <c r="C363" s="52" t="str">
        <f t="shared" si="50"/>
        <v>/contaminated-soil-removal-thornhill</v>
      </c>
      <c r="D363" s="53" t="s">
        <v>181</v>
      </c>
      <c r="E363" s="54"/>
      <c r="F363" s="62" t="s">
        <v>127</v>
      </c>
      <c r="G363" s="55"/>
      <c r="H363" s="54"/>
      <c r="I363" s="56"/>
      <c r="J363" s="57"/>
      <c r="K363" s="58"/>
      <c r="L363" s="55"/>
      <c r="M363" s="59" t="s">
        <v>184</v>
      </c>
    </row>
    <row r="364" ht="36.75" customHeight="1">
      <c r="A364" s="36">
        <v>337.0</v>
      </c>
      <c r="B364" s="40" t="str">
        <f t="shared" si="49"/>
        <v>Hazardous Waste Cleanup Thornhill | Call Now</v>
      </c>
      <c r="C364" s="41" t="str">
        <f t="shared" si="50"/>
        <v>/hazardous-waste-cleanup-thornhill</v>
      </c>
      <c r="D364" s="42" t="s">
        <v>83</v>
      </c>
      <c r="E364" s="43"/>
      <c r="F364" s="62" t="s">
        <v>127</v>
      </c>
      <c r="G364" s="45"/>
      <c r="H364" s="43"/>
      <c r="I364" s="46"/>
      <c r="J364" s="47"/>
      <c r="K364" s="48"/>
      <c r="L364" s="45"/>
      <c r="M364" s="49" t="s">
        <v>184</v>
      </c>
    </row>
    <row r="365" ht="36.75" customHeight="1">
      <c r="A365" s="50">
        <v>338.0</v>
      </c>
      <c r="B365" s="51" t="str">
        <f t="shared" si="49"/>
        <v>Industrial Spill Cleanup Thornhill | Call Now</v>
      </c>
      <c r="C365" s="52" t="str">
        <f t="shared" si="50"/>
        <v>/industrial-spill-cleanup-thornhill</v>
      </c>
      <c r="D365" s="53" t="s">
        <v>163</v>
      </c>
      <c r="E365" s="54"/>
      <c r="F365" s="62" t="s">
        <v>127</v>
      </c>
      <c r="G365" s="55"/>
      <c r="H365" s="54"/>
      <c r="I365" s="56"/>
      <c r="J365" s="57"/>
      <c r="K365" s="58"/>
      <c r="L365" s="55"/>
      <c r="M365" s="59" t="s">
        <v>184</v>
      </c>
    </row>
    <row r="366" ht="36.75" customHeight="1">
      <c r="A366" s="36">
        <v>339.0</v>
      </c>
      <c r="B366" s="40" t="str">
        <f t="shared" si="49"/>
        <v>Industrial Chemical Spill Cleanup Thornhill | Call Now</v>
      </c>
      <c r="C366" s="41" t="str">
        <f t="shared" si="50"/>
        <v>/industrial-chemical-spill-cleanup-thornhill</v>
      </c>
      <c r="D366" s="42" t="s">
        <v>211</v>
      </c>
      <c r="E366" s="43"/>
      <c r="F366" s="62" t="s">
        <v>127</v>
      </c>
      <c r="G366" s="45"/>
      <c r="H366" s="43"/>
      <c r="I366" s="46"/>
      <c r="J366" s="47"/>
      <c r="K366" s="48"/>
      <c r="L366" s="45"/>
      <c r="M366" s="49" t="s">
        <v>184</v>
      </c>
    </row>
    <row r="367" ht="36.75" customHeight="1">
      <c r="A367" s="50">
        <v>340.0</v>
      </c>
      <c r="B367" s="51" t="str">
        <f t="shared" si="49"/>
        <v>Environmental Spill Response Thornhill | Call Now</v>
      </c>
      <c r="C367" s="52" t="str">
        <f t="shared" si="50"/>
        <v>/environmental-spill-response-thornhill</v>
      </c>
      <c r="D367" s="53" t="s">
        <v>115</v>
      </c>
      <c r="E367" s="54"/>
      <c r="F367" s="62" t="s">
        <v>127</v>
      </c>
      <c r="G367" s="55"/>
      <c r="H367" s="54"/>
      <c r="I367" s="56"/>
      <c r="J367" s="57"/>
      <c r="K367" s="58"/>
      <c r="L367" s="55"/>
      <c r="M367" s="59" t="s">
        <v>184</v>
      </c>
    </row>
    <row r="368" ht="36.75" customHeight="1">
      <c r="A368" s="36">
        <v>341.0</v>
      </c>
      <c r="B368" s="40" t="str">
        <f t="shared" si="49"/>
        <v>Fuel Spill Cleanup Thornhill | Call Now</v>
      </c>
      <c r="C368" s="41" t="str">
        <f t="shared" si="50"/>
        <v>/fuel-spill-cleanup-thornhill</v>
      </c>
      <c r="D368" s="42" t="s">
        <v>224</v>
      </c>
      <c r="E368" s="43"/>
      <c r="F368" s="62" t="s">
        <v>127</v>
      </c>
      <c r="G368" s="45"/>
      <c r="H368" s="43"/>
      <c r="I368" s="46"/>
      <c r="J368" s="47"/>
      <c r="K368" s="48"/>
      <c r="L368" s="45"/>
      <c r="M368" s="49" t="s">
        <v>184</v>
      </c>
    </row>
    <row r="369" ht="36.75" customHeight="1">
      <c r="A369" s="50">
        <v>342.0</v>
      </c>
      <c r="B369" s="51" t="str">
        <f t="shared" si="49"/>
        <v>Gasoline Spill Cleanup Thornhill | Call Now</v>
      </c>
      <c r="C369" s="52" t="str">
        <f t="shared" si="50"/>
        <v>/gasoline-spill-cleanup-thornhill</v>
      </c>
      <c r="D369" s="53" t="s">
        <v>188</v>
      </c>
      <c r="E369" s="54"/>
      <c r="F369" s="64" t="s">
        <v>127</v>
      </c>
      <c r="G369" s="55"/>
      <c r="H369" s="54"/>
      <c r="I369" s="56"/>
      <c r="J369" s="57"/>
      <c r="K369" s="58"/>
      <c r="L369" s="55"/>
      <c r="M369" s="59" t="s">
        <v>184</v>
      </c>
    </row>
    <row r="370" ht="36.75" customHeight="1">
      <c r="A370" s="36">
        <v>343.0</v>
      </c>
      <c r="B370" s="40" t="str">
        <f t="shared" si="49"/>
        <v>Diesel Spill Cleanup Thornhill | Call Now</v>
      </c>
      <c r="C370" s="41" t="str">
        <f t="shared" si="50"/>
        <v>/diesel-spill-cleanup-thornhill</v>
      </c>
      <c r="D370" s="42" t="s">
        <v>237</v>
      </c>
      <c r="E370" s="43"/>
      <c r="F370" s="64" t="s">
        <v>127</v>
      </c>
      <c r="G370" s="45"/>
      <c r="H370" s="43"/>
      <c r="I370" s="46"/>
      <c r="J370" s="47"/>
      <c r="K370" s="48"/>
      <c r="L370" s="45"/>
      <c r="M370" s="49" t="s">
        <v>184</v>
      </c>
    </row>
    <row r="371" ht="36.75" customHeight="1">
      <c r="A371" s="50">
        <v>344.0</v>
      </c>
      <c r="B371" s="51" t="str">
        <f t="shared" si="49"/>
        <v>Hydraulic Oil Spill Cleanup Thornhill | Call Now</v>
      </c>
      <c r="C371" s="52" t="str">
        <f t="shared" si="50"/>
        <v>/hydraulic-oil-spill-cleanup-thornhill</v>
      </c>
      <c r="D371" s="53" t="s">
        <v>205</v>
      </c>
      <c r="E371" s="54"/>
      <c r="F371" s="64" t="s">
        <v>127</v>
      </c>
      <c r="G371" s="55"/>
      <c r="H371" s="54"/>
      <c r="I371" s="56"/>
      <c r="J371" s="57"/>
      <c r="K371" s="58"/>
      <c r="L371" s="55"/>
      <c r="M371" s="59" t="s">
        <v>184</v>
      </c>
    </row>
    <row r="372" ht="36.75" customHeight="1">
      <c r="A372" s="36">
        <v>345.0</v>
      </c>
      <c r="B372" s="40" t="str">
        <f t="shared" si="49"/>
        <v>Mercury Spill Cleanup Thornhill | Call Now</v>
      </c>
      <c r="C372" s="41" t="str">
        <f t="shared" si="50"/>
        <v>/mercury-spill-cleanup-thornhill</v>
      </c>
      <c r="D372" s="42" t="s">
        <v>228</v>
      </c>
      <c r="E372" s="43"/>
      <c r="F372" s="64" t="s">
        <v>127</v>
      </c>
      <c r="G372" s="45"/>
      <c r="H372" s="43"/>
      <c r="I372" s="46"/>
      <c r="J372" s="47"/>
      <c r="K372" s="48"/>
      <c r="L372" s="45"/>
      <c r="M372" s="49" t="s">
        <v>184</v>
      </c>
    </row>
    <row r="373" ht="27.0" customHeight="1">
      <c r="A373" s="61" t="s">
        <v>332</v>
      </c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6"/>
    </row>
    <row r="374" ht="36.75" customHeight="1">
      <c r="A374" s="50">
        <v>346.0</v>
      </c>
      <c r="B374" s="51" t="str">
        <f t="shared" ref="B374:B388" si="51">PROPER(D374)&amp;" "&amp;F374&amp;" | Call Now"</f>
        <v>Emergency Spill Response Abbotsford | Call Now</v>
      </c>
      <c r="C374" s="52" t="str">
        <f t="shared" ref="C374:C388" si="52">"/"&amp;SUBSTITUTE(LOWER(TRIM(D374&amp;" "&amp;F374))," ","-")</f>
        <v>/emergency-spill-response-abbotsford</v>
      </c>
      <c r="D374" s="53" t="s">
        <v>43</v>
      </c>
      <c r="E374" s="54"/>
      <c r="F374" s="62" t="s">
        <v>131</v>
      </c>
      <c r="G374" s="55"/>
      <c r="H374" s="54"/>
      <c r="I374" s="56"/>
      <c r="J374" s="57"/>
      <c r="K374" s="58"/>
      <c r="L374" s="55"/>
      <c r="M374" s="59" t="s">
        <v>184</v>
      </c>
    </row>
    <row r="375" ht="36.75" customHeight="1">
      <c r="A375" s="36">
        <v>347.0</v>
      </c>
      <c r="B375" s="40" t="str">
        <f t="shared" si="51"/>
        <v>Chemical Spill Cleanup Abbotsford | Call Now</v>
      </c>
      <c r="C375" s="41" t="str">
        <f t="shared" si="52"/>
        <v>/chemical-spill-cleanup-abbotsford</v>
      </c>
      <c r="D375" s="42" t="s">
        <v>92</v>
      </c>
      <c r="E375" s="43"/>
      <c r="F375" s="62" t="s">
        <v>131</v>
      </c>
      <c r="G375" s="45"/>
      <c r="H375" s="43"/>
      <c r="I375" s="46"/>
      <c r="J375" s="47"/>
      <c r="K375" s="48"/>
      <c r="L375" s="45"/>
      <c r="M375" s="49" t="s">
        <v>184</v>
      </c>
    </row>
    <row r="376" ht="36.75" customHeight="1">
      <c r="A376" s="50">
        <v>348.0</v>
      </c>
      <c r="B376" s="51" t="str">
        <f t="shared" si="51"/>
        <v>Oil Spill Cleanup Abbotsford | Call Now</v>
      </c>
      <c r="C376" s="52" t="str">
        <f t="shared" si="52"/>
        <v>/oil-spill-cleanup-abbotsford</v>
      </c>
      <c r="D376" s="53" t="s">
        <v>186</v>
      </c>
      <c r="E376" s="54"/>
      <c r="F376" s="62" t="s">
        <v>131</v>
      </c>
      <c r="G376" s="55"/>
      <c r="H376" s="54"/>
      <c r="I376" s="56"/>
      <c r="J376" s="57"/>
      <c r="K376" s="58"/>
      <c r="L376" s="55"/>
      <c r="M376" s="59" t="s">
        <v>184</v>
      </c>
    </row>
    <row r="377" ht="36.75" customHeight="1">
      <c r="A377" s="36">
        <v>349.0</v>
      </c>
      <c r="B377" s="40" t="str">
        <f t="shared" si="51"/>
        <v>Hazmat Cleanup Abbotsford | Call Now</v>
      </c>
      <c r="C377" s="41" t="str">
        <f t="shared" si="52"/>
        <v>/hazmat-cleanup-abbotsford</v>
      </c>
      <c r="D377" s="42" t="s">
        <v>76</v>
      </c>
      <c r="E377" s="43"/>
      <c r="F377" s="62" t="s">
        <v>131</v>
      </c>
      <c r="G377" s="45"/>
      <c r="H377" s="43"/>
      <c r="I377" s="46"/>
      <c r="J377" s="47"/>
      <c r="K377" s="48"/>
      <c r="L377" s="45"/>
      <c r="M377" s="49" t="s">
        <v>184</v>
      </c>
    </row>
    <row r="378" ht="36.75" customHeight="1">
      <c r="A378" s="50">
        <v>350.0</v>
      </c>
      <c r="B378" s="51" t="str">
        <f t="shared" si="51"/>
        <v>Soil Remediation Services Abbotsford | Call Now</v>
      </c>
      <c r="C378" s="52" t="str">
        <f t="shared" si="52"/>
        <v>/soil-remediation-services-abbotsford</v>
      </c>
      <c r="D378" s="53" t="s">
        <v>178</v>
      </c>
      <c r="E378" s="54"/>
      <c r="F378" s="62" t="s">
        <v>131</v>
      </c>
      <c r="G378" s="55"/>
      <c r="H378" s="54"/>
      <c r="I378" s="56"/>
      <c r="J378" s="57"/>
      <c r="K378" s="58"/>
      <c r="L378" s="55"/>
      <c r="M378" s="59" t="s">
        <v>184</v>
      </c>
    </row>
    <row r="379" ht="36.75" customHeight="1">
      <c r="A379" s="36">
        <v>351.0</v>
      </c>
      <c r="B379" s="40" t="str">
        <f t="shared" si="51"/>
        <v>Contaminated Soil Removal Abbotsford | Call Now</v>
      </c>
      <c r="C379" s="41" t="str">
        <f t="shared" si="52"/>
        <v>/contaminated-soil-removal-abbotsford</v>
      </c>
      <c r="D379" s="42" t="s">
        <v>181</v>
      </c>
      <c r="E379" s="43"/>
      <c r="F379" s="62" t="s">
        <v>131</v>
      </c>
      <c r="G379" s="45"/>
      <c r="H379" s="43"/>
      <c r="I379" s="46"/>
      <c r="J379" s="47"/>
      <c r="K379" s="48"/>
      <c r="L379" s="45"/>
      <c r="M379" s="49" t="s">
        <v>184</v>
      </c>
    </row>
    <row r="380" ht="36.75" customHeight="1">
      <c r="A380" s="50">
        <v>352.0</v>
      </c>
      <c r="B380" s="51" t="str">
        <f t="shared" si="51"/>
        <v>Hazardous Waste Cleanup Abbotsford | Call Now</v>
      </c>
      <c r="C380" s="52" t="str">
        <f t="shared" si="52"/>
        <v>/hazardous-waste-cleanup-abbotsford</v>
      </c>
      <c r="D380" s="53" t="s">
        <v>83</v>
      </c>
      <c r="E380" s="54"/>
      <c r="F380" s="62" t="s">
        <v>131</v>
      </c>
      <c r="G380" s="55"/>
      <c r="H380" s="54"/>
      <c r="I380" s="56"/>
      <c r="J380" s="57"/>
      <c r="K380" s="58"/>
      <c r="L380" s="55"/>
      <c r="M380" s="59" t="s">
        <v>184</v>
      </c>
    </row>
    <row r="381" ht="36.75" customHeight="1">
      <c r="A381" s="36">
        <v>353.0</v>
      </c>
      <c r="B381" s="40" t="str">
        <f t="shared" si="51"/>
        <v>Industrial Spill Cleanup Abbotsford | Call Now</v>
      </c>
      <c r="C381" s="41" t="str">
        <f t="shared" si="52"/>
        <v>/industrial-spill-cleanup-abbotsford</v>
      </c>
      <c r="D381" s="42" t="s">
        <v>163</v>
      </c>
      <c r="E381" s="43"/>
      <c r="F381" s="62" t="s">
        <v>131</v>
      </c>
      <c r="G381" s="45"/>
      <c r="H381" s="43"/>
      <c r="I381" s="46"/>
      <c r="J381" s="47"/>
      <c r="K381" s="48"/>
      <c r="L381" s="45"/>
      <c r="M381" s="49" t="s">
        <v>184</v>
      </c>
    </row>
    <row r="382" ht="36.75" customHeight="1">
      <c r="A382" s="50">
        <v>354.0</v>
      </c>
      <c r="B382" s="51" t="str">
        <f t="shared" si="51"/>
        <v>Industrial Chemical Spill Cleanup Abbotsford | Call Now</v>
      </c>
      <c r="C382" s="52" t="str">
        <f t="shared" si="52"/>
        <v>/industrial-chemical-spill-cleanup-abbotsford</v>
      </c>
      <c r="D382" s="53" t="s">
        <v>211</v>
      </c>
      <c r="E382" s="54"/>
      <c r="F382" s="62" t="s">
        <v>131</v>
      </c>
      <c r="G382" s="55"/>
      <c r="H382" s="54"/>
      <c r="I382" s="56"/>
      <c r="J382" s="57"/>
      <c r="K382" s="58"/>
      <c r="L382" s="55"/>
      <c r="M382" s="59" t="s">
        <v>184</v>
      </c>
    </row>
    <row r="383" ht="36.75" customHeight="1">
      <c r="A383" s="36">
        <v>355.0</v>
      </c>
      <c r="B383" s="40" t="str">
        <f t="shared" si="51"/>
        <v>Environmental Spill Response Abbotsford | Call Now</v>
      </c>
      <c r="C383" s="41" t="str">
        <f t="shared" si="52"/>
        <v>/environmental-spill-response-abbotsford</v>
      </c>
      <c r="D383" s="42" t="s">
        <v>115</v>
      </c>
      <c r="E383" s="43"/>
      <c r="F383" s="62" t="s">
        <v>131</v>
      </c>
      <c r="G383" s="45"/>
      <c r="H383" s="43"/>
      <c r="I383" s="46"/>
      <c r="J383" s="47"/>
      <c r="K383" s="48"/>
      <c r="L383" s="45"/>
      <c r="M383" s="49" t="s">
        <v>184</v>
      </c>
    </row>
    <row r="384" ht="36.75" customHeight="1">
      <c r="A384" s="50">
        <v>356.0</v>
      </c>
      <c r="B384" s="51" t="str">
        <f t="shared" si="51"/>
        <v>Fuel Spill Cleanup Abbotsford | Call Now</v>
      </c>
      <c r="C384" s="52" t="str">
        <f t="shared" si="52"/>
        <v>/fuel-spill-cleanup-abbotsford</v>
      </c>
      <c r="D384" s="53" t="s">
        <v>224</v>
      </c>
      <c r="E384" s="54"/>
      <c r="F384" s="62" t="s">
        <v>131</v>
      </c>
      <c r="G384" s="55"/>
      <c r="H384" s="54"/>
      <c r="I384" s="56"/>
      <c r="J384" s="57"/>
      <c r="K384" s="58"/>
      <c r="L384" s="55"/>
      <c r="M384" s="59" t="s">
        <v>184</v>
      </c>
    </row>
    <row r="385" ht="36.75" customHeight="1">
      <c r="A385" s="36">
        <v>357.0</v>
      </c>
      <c r="B385" s="40" t="str">
        <f t="shared" si="51"/>
        <v>Gasoline Spill Cleanup Abbotsford | Call Now</v>
      </c>
      <c r="C385" s="41" t="str">
        <f t="shared" si="52"/>
        <v>/gasoline-spill-cleanup-abbotsford</v>
      </c>
      <c r="D385" s="42" t="s">
        <v>188</v>
      </c>
      <c r="E385" s="43"/>
      <c r="F385" s="64" t="s">
        <v>131</v>
      </c>
      <c r="G385" s="45"/>
      <c r="H385" s="43"/>
      <c r="I385" s="46"/>
      <c r="J385" s="47"/>
      <c r="K385" s="48"/>
      <c r="L385" s="45"/>
      <c r="M385" s="49" t="s">
        <v>184</v>
      </c>
    </row>
    <row r="386" ht="36.75" customHeight="1">
      <c r="A386" s="50">
        <v>358.0</v>
      </c>
      <c r="B386" s="51" t="str">
        <f t="shared" si="51"/>
        <v>Diesel Spill Cleanup Abbotsford | Call Now</v>
      </c>
      <c r="C386" s="52" t="str">
        <f t="shared" si="52"/>
        <v>/diesel-spill-cleanup-abbotsford</v>
      </c>
      <c r="D386" s="53" t="s">
        <v>237</v>
      </c>
      <c r="E386" s="54"/>
      <c r="F386" s="64" t="s">
        <v>131</v>
      </c>
      <c r="G386" s="55"/>
      <c r="H386" s="54"/>
      <c r="I386" s="56"/>
      <c r="J386" s="57"/>
      <c r="K386" s="58"/>
      <c r="L386" s="55"/>
      <c r="M386" s="59" t="s">
        <v>184</v>
      </c>
    </row>
    <row r="387" ht="36.75" customHeight="1">
      <c r="A387" s="36">
        <v>359.0</v>
      </c>
      <c r="B387" s="40" t="str">
        <f t="shared" si="51"/>
        <v>Hydraulic Oil Spill Cleanup Abbotsford | Call Now</v>
      </c>
      <c r="C387" s="41" t="str">
        <f t="shared" si="52"/>
        <v>/hydraulic-oil-spill-cleanup-abbotsford</v>
      </c>
      <c r="D387" s="42" t="s">
        <v>205</v>
      </c>
      <c r="E387" s="43"/>
      <c r="F387" s="64" t="s">
        <v>131</v>
      </c>
      <c r="G387" s="45"/>
      <c r="H387" s="43"/>
      <c r="I387" s="46"/>
      <c r="J387" s="47"/>
      <c r="K387" s="48"/>
      <c r="L387" s="45"/>
      <c r="M387" s="49" t="s">
        <v>184</v>
      </c>
    </row>
    <row r="388" ht="36.75" customHeight="1">
      <c r="A388" s="50">
        <v>360.0</v>
      </c>
      <c r="B388" s="51" t="str">
        <f t="shared" si="51"/>
        <v>Mercury Spill Cleanup Abbotsford | Call Now</v>
      </c>
      <c r="C388" s="52" t="str">
        <f t="shared" si="52"/>
        <v>/mercury-spill-cleanup-abbotsford</v>
      </c>
      <c r="D388" s="53" t="s">
        <v>228</v>
      </c>
      <c r="E388" s="54"/>
      <c r="F388" s="64" t="s">
        <v>131</v>
      </c>
      <c r="G388" s="55"/>
      <c r="H388" s="54"/>
      <c r="I388" s="56"/>
      <c r="J388" s="57"/>
      <c r="K388" s="58"/>
      <c r="L388" s="55"/>
      <c r="M388" s="59" t="s">
        <v>184</v>
      </c>
    </row>
    <row r="389" ht="27.0" customHeight="1">
      <c r="A389" s="28" t="s">
        <v>333</v>
      </c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6"/>
    </row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A1:M1"/>
    <mergeCell ref="A3:M3"/>
    <mergeCell ref="A10:M10"/>
    <mergeCell ref="A16:M16"/>
    <mergeCell ref="A21:M21"/>
    <mergeCell ref="A37:M37"/>
    <mergeCell ref="A53:M53"/>
    <mergeCell ref="A69:M69"/>
    <mergeCell ref="A85:M85"/>
    <mergeCell ref="A101:M101"/>
    <mergeCell ref="A117:M117"/>
    <mergeCell ref="A133:M133"/>
    <mergeCell ref="A149:M149"/>
    <mergeCell ref="A165:M165"/>
    <mergeCell ref="A293:M293"/>
    <mergeCell ref="A309:M309"/>
    <mergeCell ref="A325:M325"/>
    <mergeCell ref="A341:M341"/>
    <mergeCell ref="A357:M357"/>
    <mergeCell ref="A373:M373"/>
    <mergeCell ref="A389:M389"/>
    <mergeCell ref="A181:M181"/>
    <mergeCell ref="A197:M197"/>
    <mergeCell ref="A213:M213"/>
    <mergeCell ref="A229:M229"/>
    <mergeCell ref="A245:M245"/>
    <mergeCell ref="A261:M261"/>
    <mergeCell ref="A277:M277"/>
  </mergeCells>
  <printOptions/>
  <pageMargins bottom="1.0" footer="0.0" header="0.0" left="0.75" right="0.75" top="1.0"/>
  <pageSetup fitToHeight="0"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6.0"/>
    <col customWidth="1" min="2" max="2" width="47.0"/>
    <col customWidth="1" min="3" max="3" width="10.0"/>
    <col customWidth="1" min="4" max="4" width="11.0"/>
    <col customWidth="1" min="5" max="5" width="12.0"/>
    <col customWidth="1" min="6" max="6" width="13.0"/>
    <col customWidth="1" min="7" max="7" width="12.0"/>
    <col customWidth="1" min="8" max="8" width="43.0"/>
    <col customWidth="1" min="9" max="9" width="25.0"/>
    <col customWidth="1" min="10" max="10" width="43.0"/>
    <col customWidth="1" min="11" max="11" width="15.0"/>
    <col customWidth="1" min="12" max="12" width="19.0"/>
    <col customWidth="1" min="13" max="13" width="23.0"/>
    <col customWidth="1" min="14" max="14" width="16.0"/>
    <col customWidth="1" min="15" max="15" width="61.0"/>
    <col customWidth="1" min="16" max="16" width="12.0"/>
    <col customWidth="1" min="17" max="18" width="56.0"/>
    <col customWidth="1" min="19" max="19" width="29.0"/>
    <col customWidth="1" min="20" max="20" width="65.0"/>
    <col customWidth="1" min="21" max="26" width="8.71"/>
  </cols>
  <sheetData>
    <row r="1" ht="39.75" customHeight="1">
      <c r="A1" s="1" t="s">
        <v>1</v>
      </c>
      <c r="B1" s="1" t="s">
        <v>3</v>
      </c>
      <c r="C1" s="1" t="s">
        <v>4</v>
      </c>
      <c r="D1" s="1" t="s">
        <v>5</v>
      </c>
      <c r="E1" s="1" t="s">
        <v>8</v>
      </c>
      <c r="F1" s="1" t="s">
        <v>10</v>
      </c>
      <c r="G1" s="1" t="s">
        <v>14</v>
      </c>
      <c r="H1" s="1" t="s">
        <v>17</v>
      </c>
      <c r="I1" s="1" t="s">
        <v>20</v>
      </c>
      <c r="J1" s="1" t="s">
        <v>23</v>
      </c>
      <c r="K1" s="1" t="s">
        <v>25</v>
      </c>
      <c r="L1" s="1" t="s">
        <v>27</v>
      </c>
      <c r="M1" s="1" t="s">
        <v>29</v>
      </c>
      <c r="N1" s="1" t="s">
        <v>31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0</v>
      </c>
    </row>
    <row r="2" ht="24.0" customHeight="1">
      <c r="A2" s="12">
        <v>1.0</v>
      </c>
      <c r="B2" s="16" t="s">
        <v>43</v>
      </c>
      <c r="C2" s="19" t="s">
        <v>49</v>
      </c>
      <c r="D2" s="21">
        <v>3.0</v>
      </c>
      <c r="E2" s="21">
        <v>200.0</v>
      </c>
      <c r="F2" s="23">
        <v>2.5</v>
      </c>
      <c r="G2" s="25"/>
      <c r="H2" s="19" t="s">
        <v>43</v>
      </c>
      <c r="I2" s="19" t="s">
        <v>63</v>
      </c>
      <c r="J2" s="19" t="s">
        <v>64</v>
      </c>
      <c r="K2" s="12">
        <v>1100.0</v>
      </c>
      <c r="L2" s="12">
        <v>90.0</v>
      </c>
      <c r="M2" s="12">
        <v>90.0</v>
      </c>
      <c r="N2" s="19" t="s">
        <v>65</v>
      </c>
      <c r="O2" s="19" t="s">
        <v>59</v>
      </c>
      <c r="P2" s="19" t="s">
        <v>68</v>
      </c>
      <c r="Q2" s="19" t="s">
        <v>69</v>
      </c>
      <c r="R2" s="19" t="s">
        <v>70</v>
      </c>
      <c r="S2" s="19" t="s">
        <v>72</v>
      </c>
      <c r="T2" s="19" t="s">
        <v>38</v>
      </c>
    </row>
    <row r="3" ht="24.0" customHeight="1">
      <c r="A3" s="30">
        <v>2.0</v>
      </c>
      <c r="B3" s="33" t="s">
        <v>71</v>
      </c>
      <c r="C3" s="34" t="s">
        <v>49</v>
      </c>
      <c r="D3" s="37"/>
      <c r="E3" s="37">
        <v>50.0</v>
      </c>
      <c r="F3" s="38"/>
      <c r="G3" s="39"/>
      <c r="H3" s="34" t="s">
        <v>87</v>
      </c>
      <c r="I3" s="34"/>
      <c r="J3" s="34"/>
      <c r="K3" s="30">
        <v>250.0</v>
      </c>
      <c r="L3" s="30"/>
      <c r="M3" s="30"/>
      <c r="N3" s="34" t="s">
        <v>91</v>
      </c>
      <c r="O3" s="34" t="s">
        <v>59</v>
      </c>
      <c r="P3" s="34" t="s">
        <v>68</v>
      </c>
      <c r="Q3" s="34" t="s">
        <v>95</v>
      </c>
      <c r="R3" s="34" t="s">
        <v>96</v>
      </c>
      <c r="S3" s="34" t="s">
        <v>97</v>
      </c>
      <c r="T3" s="34" t="s">
        <v>38</v>
      </c>
    </row>
    <row r="4" ht="24.0" customHeight="1">
      <c r="A4" s="12">
        <v>3.0</v>
      </c>
      <c r="B4" s="16" t="s">
        <v>83</v>
      </c>
      <c r="C4" s="19" t="s">
        <v>49</v>
      </c>
      <c r="D4" s="21"/>
      <c r="E4" s="21">
        <v>40.0</v>
      </c>
      <c r="F4" s="23"/>
      <c r="G4" s="25"/>
      <c r="H4" s="19"/>
      <c r="I4" s="19"/>
      <c r="J4" s="19"/>
      <c r="K4" s="12">
        <v>300.0</v>
      </c>
      <c r="L4" s="12"/>
      <c r="M4" s="12"/>
      <c r="N4" s="19" t="s">
        <v>103</v>
      </c>
      <c r="O4" s="19" t="s">
        <v>59</v>
      </c>
      <c r="P4" s="19" t="s">
        <v>68</v>
      </c>
      <c r="Q4" s="19" t="s">
        <v>104</v>
      </c>
      <c r="R4" s="19" t="s">
        <v>106</v>
      </c>
      <c r="S4" s="19" t="s">
        <v>107</v>
      </c>
      <c r="T4" s="19" t="s">
        <v>38</v>
      </c>
    </row>
    <row r="5" ht="24.0" customHeight="1">
      <c r="A5" s="30">
        <v>4.0</v>
      </c>
      <c r="B5" s="33" t="s">
        <v>90</v>
      </c>
      <c r="C5" s="34" t="s">
        <v>49</v>
      </c>
      <c r="D5" s="37"/>
      <c r="E5" s="37">
        <v>30.0</v>
      </c>
      <c r="F5" s="38"/>
      <c r="G5" s="39"/>
      <c r="H5" s="34"/>
      <c r="I5" s="34"/>
      <c r="J5" s="34"/>
      <c r="K5" s="30">
        <v>450.0</v>
      </c>
      <c r="L5" s="30"/>
      <c r="M5" s="30"/>
      <c r="N5" s="34" t="s">
        <v>109</v>
      </c>
      <c r="O5" s="34" t="s">
        <v>59</v>
      </c>
      <c r="P5" s="34" t="s">
        <v>68</v>
      </c>
      <c r="Q5" s="34" t="s">
        <v>110</v>
      </c>
      <c r="R5" s="34" t="s">
        <v>112</v>
      </c>
      <c r="S5" s="34" t="s">
        <v>113</v>
      </c>
      <c r="T5" s="34" t="s">
        <v>38</v>
      </c>
    </row>
    <row r="6" ht="24.0" customHeight="1">
      <c r="A6" s="12">
        <v>5.0</v>
      </c>
      <c r="B6" s="16" t="s">
        <v>99</v>
      </c>
      <c r="C6" s="19" t="s">
        <v>49</v>
      </c>
      <c r="D6" s="21"/>
      <c r="E6" s="21">
        <v>30.0</v>
      </c>
      <c r="F6" s="23"/>
      <c r="G6" s="25"/>
      <c r="H6" s="19"/>
      <c r="I6" s="19"/>
      <c r="J6" s="19"/>
      <c r="K6" s="12">
        <v>250.0</v>
      </c>
      <c r="L6" s="12"/>
      <c r="M6" s="12"/>
      <c r="N6" s="19" t="s">
        <v>118</v>
      </c>
      <c r="O6" s="19" t="s">
        <v>59</v>
      </c>
      <c r="P6" s="19" t="s">
        <v>68</v>
      </c>
      <c r="Q6" s="19" t="s">
        <v>120</v>
      </c>
      <c r="R6" s="19" t="s">
        <v>122</v>
      </c>
      <c r="S6" s="19" t="s">
        <v>124</v>
      </c>
      <c r="T6" s="19" t="s">
        <v>38</v>
      </c>
    </row>
    <row r="7" ht="24.0" customHeight="1">
      <c r="A7" s="30">
        <v>6.0</v>
      </c>
      <c r="B7" s="33" t="s">
        <v>92</v>
      </c>
      <c r="C7" s="34" t="s">
        <v>49</v>
      </c>
      <c r="D7" s="37"/>
      <c r="E7" s="37">
        <v>30.0</v>
      </c>
      <c r="F7" s="38"/>
      <c r="G7" s="39"/>
      <c r="H7" s="34"/>
      <c r="I7" s="34"/>
      <c r="J7" s="34"/>
      <c r="K7" s="30">
        <v>350.0</v>
      </c>
      <c r="L7" s="30"/>
      <c r="M7" s="30"/>
      <c r="N7" s="34" t="s">
        <v>126</v>
      </c>
      <c r="O7" s="34" t="s">
        <v>59</v>
      </c>
      <c r="P7" s="34" t="s">
        <v>68</v>
      </c>
      <c r="Q7" s="34" t="s">
        <v>128</v>
      </c>
      <c r="R7" s="34" t="s">
        <v>129</v>
      </c>
      <c r="S7" s="34" t="s">
        <v>130</v>
      </c>
      <c r="T7" s="34" t="s">
        <v>38</v>
      </c>
    </row>
    <row r="8" ht="24.0" customHeight="1">
      <c r="A8" s="12">
        <v>7.0</v>
      </c>
      <c r="B8" s="16" t="s">
        <v>76</v>
      </c>
      <c r="C8" s="19" t="s">
        <v>49</v>
      </c>
      <c r="D8" s="21">
        <v>0.0</v>
      </c>
      <c r="E8" s="21">
        <v>20.0</v>
      </c>
      <c r="F8" s="23">
        <v>2.0</v>
      </c>
      <c r="G8" s="25"/>
      <c r="H8" s="19" t="s">
        <v>132</v>
      </c>
      <c r="I8" s="19" t="s">
        <v>133</v>
      </c>
      <c r="J8" s="19" t="s">
        <v>134</v>
      </c>
      <c r="K8" s="12">
        <v>900.0</v>
      </c>
      <c r="L8" s="12">
        <v>100.0</v>
      </c>
      <c r="M8" s="12">
        <v>100.0</v>
      </c>
      <c r="N8" s="19" t="s">
        <v>135</v>
      </c>
      <c r="O8" s="19" t="s">
        <v>111</v>
      </c>
      <c r="P8" s="19" t="s">
        <v>68</v>
      </c>
      <c r="Q8" s="19" t="s">
        <v>136</v>
      </c>
      <c r="R8" s="19" t="s">
        <v>137</v>
      </c>
      <c r="S8" s="19" t="s">
        <v>138</v>
      </c>
      <c r="T8" s="19" t="s">
        <v>38</v>
      </c>
    </row>
    <row r="9" ht="24.0" customHeight="1">
      <c r="A9" s="30">
        <v>8.0</v>
      </c>
      <c r="B9" s="33" t="s">
        <v>115</v>
      </c>
      <c r="C9" s="34" t="s">
        <v>49</v>
      </c>
      <c r="D9" s="37"/>
      <c r="E9" s="37">
        <v>10.0</v>
      </c>
      <c r="F9" s="38"/>
      <c r="G9" s="39"/>
      <c r="H9" s="34"/>
      <c r="I9" s="34"/>
      <c r="J9" s="34"/>
      <c r="K9" s="30">
        <v>100.0</v>
      </c>
      <c r="L9" s="30"/>
      <c r="M9" s="30"/>
      <c r="N9" s="34" t="s">
        <v>140</v>
      </c>
      <c r="O9" s="34"/>
      <c r="P9" s="34"/>
      <c r="Q9" s="34" t="s">
        <v>142</v>
      </c>
      <c r="R9" s="34" t="s">
        <v>98</v>
      </c>
      <c r="S9" s="34"/>
      <c r="T9" s="34" t="s">
        <v>38</v>
      </c>
    </row>
    <row r="10" ht="24.0" customHeight="1">
      <c r="A10" s="12">
        <v>9.0</v>
      </c>
      <c r="B10" s="16" t="s">
        <v>123</v>
      </c>
      <c r="C10" s="19" t="s">
        <v>49</v>
      </c>
      <c r="D10" s="21"/>
      <c r="E10" s="21"/>
      <c r="F10" s="23"/>
      <c r="G10" s="25"/>
      <c r="H10" s="19"/>
      <c r="I10" s="19"/>
      <c r="J10" s="19"/>
      <c r="K10" s="12">
        <v>80.0</v>
      </c>
      <c r="L10" s="12"/>
      <c r="M10" s="12"/>
      <c r="N10" s="19" t="s">
        <v>145</v>
      </c>
      <c r="O10" s="19" t="s">
        <v>59</v>
      </c>
      <c r="P10" s="19" t="s">
        <v>68</v>
      </c>
      <c r="Q10" s="19" t="s">
        <v>146</v>
      </c>
      <c r="R10" s="19" t="s">
        <v>40</v>
      </c>
      <c r="S10" s="19" t="s">
        <v>147</v>
      </c>
      <c r="T10" s="19" t="s">
        <v>38</v>
      </c>
    </row>
    <row r="11" ht="24.0" customHeight="1">
      <c r="A11" s="30">
        <v>10.0</v>
      </c>
      <c r="B11" s="33" t="s">
        <v>141</v>
      </c>
      <c r="C11" s="34" t="s">
        <v>49</v>
      </c>
      <c r="D11" s="37"/>
      <c r="E11" s="37"/>
      <c r="F11" s="38"/>
      <c r="G11" s="39"/>
      <c r="H11" s="34"/>
      <c r="I11" s="34"/>
      <c r="J11" s="34"/>
      <c r="K11" s="30">
        <v>10.0</v>
      </c>
      <c r="L11" s="30"/>
      <c r="M11" s="30"/>
      <c r="N11" s="34" t="s">
        <v>150</v>
      </c>
      <c r="O11" s="34"/>
      <c r="P11" s="34"/>
      <c r="Q11" s="34" t="s">
        <v>151</v>
      </c>
      <c r="R11" s="34" t="s">
        <v>40</v>
      </c>
      <c r="S11" s="34"/>
      <c r="T11" s="34" t="s">
        <v>38</v>
      </c>
    </row>
    <row r="12" ht="24.0" customHeight="1">
      <c r="A12" s="12">
        <v>11.0</v>
      </c>
      <c r="B12" s="16" t="s">
        <v>144</v>
      </c>
      <c r="C12" s="19" t="s">
        <v>49</v>
      </c>
      <c r="D12" s="21"/>
      <c r="E12" s="21"/>
      <c r="F12" s="23"/>
      <c r="G12" s="25"/>
      <c r="H12" s="19"/>
      <c r="I12" s="19"/>
      <c r="J12" s="19"/>
      <c r="K12" s="12">
        <v>100.0</v>
      </c>
      <c r="L12" s="12"/>
      <c r="M12" s="12"/>
      <c r="N12" s="19" t="s">
        <v>154</v>
      </c>
      <c r="O12" s="19"/>
      <c r="P12" s="19"/>
      <c r="Q12" s="19" t="s">
        <v>155</v>
      </c>
      <c r="R12" s="19" t="s">
        <v>40</v>
      </c>
      <c r="S12" s="19"/>
      <c r="T12" s="19" t="s">
        <v>38</v>
      </c>
    </row>
    <row r="13" ht="24.0" customHeight="1">
      <c r="A13" s="30">
        <v>12.0</v>
      </c>
      <c r="B13" s="33" t="s">
        <v>149</v>
      </c>
      <c r="C13" s="34" t="s">
        <v>49</v>
      </c>
      <c r="D13" s="37"/>
      <c r="E13" s="37"/>
      <c r="F13" s="38"/>
      <c r="G13" s="39"/>
      <c r="H13" s="34"/>
      <c r="I13" s="34"/>
      <c r="J13" s="34"/>
      <c r="K13" s="30"/>
      <c r="L13" s="30"/>
      <c r="M13" s="30"/>
      <c r="N13" s="34" t="s">
        <v>158</v>
      </c>
      <c r="O13" s="34"/>
      <c r="P13" s="34"/>
      <c r="Q13" s="34" t="s">
        <v>162</v>
      </c>
      <c r="R13" s="34" t="s">
        <v>40</v>
      </c>
      <c r="S13" s="34"/>
      <c r="T13" s="34" t="s">
        <v>38</v>
      </c>
    </row>
    <row r="14" ht="24.0" customHeight="1">
      <c r="A14" s="12">
        <v>13.0</v>
      </c>
      <c r="B14" s="16" t="s">
        <v>153</v>
      </c>
      <c r="C14" s="19" t="s">
        <v>49</v>
      </c>
      <c r="D14" s="21"/>
      <c r="E14" s="21"/>
      <c r="F14" s="23"/>
      <c r="G14" s="25"/>
      <c r="H14" s="19"/>
      <c r="I14" s="19"/>
      <c r="J14" s="19"/>
      <c r="K14" s="12">
        <v>70.0</v>
      </c>
      <c r="L14" s="12"/>
      <c r="M14" s="12"/>
      <c r="N14" s="19" t="s">
        <v>167</v>
      </c>
      <c r="O14" s="19"/>
      <c r="P14" s="19"/>
      <c r="Q14" s="19" t="s">
        <v>169</v>
      </c>
      <c r="R14" s="19" t="s">
        <v>40</v>
      </c>
      <c r="S14" s="19"/>
      <c r="T14" s="19" t="s">
        <v>38</v>
      </c>
    </row>
    <row r="15" ht="24.0" customHeight="1">
      <c r="A15" s="30">
        <v>14.0</v>
      </c>
      <c r="B15" s="33" t="s">
        <v>157</v>
      </c>
      <c r="C15" s="34" t="s">
        <v>49</v>
      </c>
      <c r="D15" s="37"/>
      <c r="E15" s="37"/>
      <c r="F15" s="38"/>
      <c r="G15" s="39"/>
      <c r="H15" s="34"/>
      <c r="I15" s="34"/>
      <c r="J15" s="34"/>
      <c r="K15" s="30">
        <v>50.0</v>
      </c>
      <c r="L15" s="30"/>
      <c r="M15" s="30"/>
      <c r="N15" s="34" t="s">
        <v>172</v>
      </c>
      <c r="O15" s="34"/>
      <c r="P15" s="34"/>
      <c r="Q15" s="34" t="s">
        <v>173</v>
      </c>
      <c r="R15" s="34" t="s">
        <v>40</v>
      </c>
      <c r="S15" s="34"/>
      <c r="T15" s="34" t="s">
        <v>38</v>
      </c>
    </row>
    <row r="16" ht="24.0" customHeight="1">
      <c r="A16" s="12">
        <v>15.0</v>
      </c>
      <c r="B16" s="16" t="s">
        <v>161</v>
      </c>
      <c r="C16" s="19" t="s">
        <v>49</v>
      </c>
      <c r="D16" s="21"/>
      <c r="E16" s="21"/>
      <c r="F16" s="23"/>
      <c r="G16" s="25"/>
      <c r="H16" s="19"/>
      <c r="I16" s="19"/>
      <c r="J16" s="19"/>
      <c r="K16" s="12">
        <v>20.0</v>
      </c>
      <c r="L16" s="12"/>
      <c r="M16" s="12"/>
      <c r="N16" s="19" t="s">
        <v>174</v>
      </c>
      <c r="O16" s="19"/>
      <c r="P16" s="19"/>
      <c r="Q16" s="19" t="s">
        <v>175</v>
      </c>
      <c r="R16" s="19" t="s">
        <v>40</v>
      </c>
      <c r="S16" s="19"/>
      <c r="T16" s="19" t="s">
        <v>38</v>
      </c>
    </row>
    <row r="17" ht="24.0" customHeight="1">
      <c r="A17" s="30">
        <v>16.0</v>
      </c>
      <c r="B17" s="33" t="s">
        <v>168</v>
      </c>
      <c r="C17" s="34" t="s">
        <v>49</v>
      </c>
      <c r="D17" s="37"/>
      <c r="E17" s="37"/>
      <c r="F17" s="38"/>
      <c r="G17" s="39"/>
      <c r="H17" s="34"/>
      <c r="I17" s="34"/>
      <c r="J17" s="34"/>
      <c r="K17" s="30">
        <v>50.0</v>
      </c>
      <c r="L17" s="30"/>
      <c r="M17" s="30"/>
      <c r="N17" s="34" t="s">
        <v>190</v>
      </c>
      <c r="O17" s="34"/>
      <c r="P17" s="34"/>
      <c r="Q17" s="34" t="s">
        <v>192</v>
      </c>
      <c r="R17" s="34" t="s">
        <v>82</v>
      </c>
      <c r="S17" s="34"/>
      <c r="T17" s="34" t="s">
        <v>38</v>
      </c>
    </row>
    <row r="18" ht="24.0" customHeight="1">
      <c r="A18" s="12">
        <v>17.0</v>
      </c>
      <c r="B18" s="16" t="s">
        <v>171</v>
      </c>
      <c r="C18" s="19" t="s">
        <v>49</v>
      </c>
      <c r="D18" s="21"/>
      <c r="E18" s="21"/>
      <c r="F18" s="23"/>
      <c r="G18" s="25"/>
      <c r="H18" s="19"/>
      <c r="I18" s="19"/>
      <c r="J18" s="19"/>
      <c r="K18" s="12">
        <v>40.0</v>
      </c>
      <c r="L18" s="12"/>
      <c r="M18" s="12"/>
      <c r="N18" s="19" t="s">
        <v>194</v>
      </c>
      <c r="O18" s="19"/>
      <c r="P18" s="19"/>
      <c r="Q18" s="19" t="s">
        <v>195</v>
      </c>
      <c r="R18" s="19" t="s">
        <v>40</v>
      </c>
      <c r="S18" s="19"/>
      <c r="T18" s="19" t="s">
        <v>38</v>
      </c>
    </row>
    <row r="19" ht="24.0" customHeight="1">
      <c r="A19" s="30">
        <v>18.0</v>
      </c>
      <c r="B19" s="33" t="s">
        <v>163</v>
      </c>
      <c r="C19" s="34" t="s">
        <v>49</v>
      </c>
      <c r="D19" s="37"/>
      <c r="E19" s="37"/>
      <c r="F19" s="38"/>
      <c r="G19" s="39"/>
      <c r="H19" s="34"/>
      <c r="I19" s="34"/>
      <c r="J19" s="34"/>
      <c r="K19" s="30">
        <v>10.0</v>
      </c>
      <c r="L19" s="30"/>
      <c r="M19" s="30"/>
      <c r="N19" s="34" t="s">
        <v>196</v>
      </c>
      <c r="O19" s="34"/>
      <c r="P19" s="34"/>
      <c r="Q19" s="34" t="s">
        <v>197</v>
      </c>
      <c r="R19" s="34" t="s">
        <v>40</v>
      </c>
      <c r="S19" s="34"/>
      <c r="T19" s="34" t="s">
        <v>38</v>
      </c>
    </row>
    <row r="20" ht="24.0" customHeight="1">
      <c r="A20" s="12">
        <v>1.0</v>
      </c>
      <c r="B20" s="16" t="s">
        <v>178</v>
      </c>
      <c r="C20" s="19" t="s">
        <v>49</v>
      </c>
      <c r="D20" s="21"/>
      <c r="E20" s="21">
        <v>100.0</v>
      </c>
      <c r="F20" s="23"/>
      <c r="G20" s="25"/>
      <c r="H20" s="19"/>
      <c r="I20" s="19"/>
      <c r="J20" s="19"/>
      <c r="K20" s="12">
        <v>1000.0</v>
      </c>
      <c r="L20" s="12"/>
      <c r="M20" s="12"/>
      <c r="N20" s="19" t="s">
        <v>198</v>
      </c>
      <c r="O20" s="19" t="s">
        <v>180</v>
      </c>
      <c r="P20" s="19" t="s">
        <v>68</v>
      </c>
      <c r="Q20" s="19" t="s">
        <v>199</v>
      </c>
      <c r="R20" s="19" t="s">
        <v>200</v>
      </c>
      <c r="S20" s="19" t="s">
        <v>201</v>
      </c>
      <c r="T20" s="19" t="s">
        <v>177</v>
      </c>
    </row>
    <row r="21" ht="24.0" customHeight="1">
      <c r="A21" s="30">
        <v>2.0</v>
      </c>
      <c r="B21" s="33" t="s">
        <v>181</v>
      </c>
      <c r="C21" s="34" t="s">
        <v>49</v>
      </c>
      <c r="D21" s="37">
        <v>0.0</v>
      </c>
      <c r="E21" s="37">
        <v>100.0</v>
      </c>
      <c r="F21" s="38">
        <v>1.2</v>
      </c>
      <c r="G21" s="39"/>
      <c r="H21" s="34"/>
      <c r="I21" s="34"/>
      <c r="J21" s="34"/>
      <c r="K21" s="30">
        <v>600.0</v>
      </c>
      <c r="L21" s="30"/>
      <c r="M21" s="30"/>
      <c r="N21" s="34" t="s">
        <v>204</v>
      </c>
      <c r="O21" s="34" t="s">
        <v>183</v>
      </c>
      <c r="P21" s="34" t="s">
        <v>68</v>
      </c>
      <c r="Q21" s="34" t="s">
        <v>206</v>
      </c>
      <c r="R21" s="34" t="s">
        <v>208</v>
      </c>
      <c r="S21" s="34" t="s">
        <v>209</v>
      </c>
      <c r="T21" s="34" t="s">
        <v>177</v>
      </c>
    </row>
    <row r="22" ht="24.0" customHeight="1">
      <c r="A22" s="12">
        <v>3.0</v>
      </c>
      <c r="B22" s="16" t="s">
        <v>185</v>
      </c>
      <c r="C22" s="19" t="s">
        <v>49</v>
      </c>
      <c r="D22" s="21">
        <v>7.0</v>
      </c>
      <c r="E22" s="21">
        <v>50.0</v>
      </c>
      <c r="F22" s="23">
        <v>4.0</v>
      </c>
      <c r="G22" s="25"/>
      <c r="H22" s="19" t="s">
        <v>212</v>
      </c>
      <c r="I22" s="19" t="s">
        <v>213</v>
      </c>
      <c r="J22" s="19" t="s">
        <v>64</v>
      </c>
      <c r="K22" s="12">
        <v>1500.0</v>
      </c>
      <c r="L22" s="12">
        <v>40.0</v>
      </c>
      <c r="M22" s="12">
        <v>1300.0</v>
      </c>
      <c r="N22" s="19" t="s">
        <v>215</v>
      </c>
      <c r="O22" s="19" t="s">
        <v>59</v>
      </c>
      <c r="P22" s="19" t="s">
        <v>68</v>
      </c>
      <c r="Q22" s="19" t="s">
        <v>216</v>
      </c>
      <c r="R22" s="19" t="s">
        <v>217</v>
      </c>
      <c r="S22" s="19" t="s">
        <v>218</v>
      </c>
      <c r="T22" s="19" t="s">
        <v>177</v>
      </c>
    </row>
    <row r="23" ht="24.0" customHeight="1">
      <c r="A23" s="30">
        <v>4.0</v>
      </c>
      <c r="B23" s="33" t="s">
        <v>186</v>
      </c>
      <c r="C23" s="34" t="s">
        <v>49</v>
      </c>
      <c r="D23" s="37">
        <v>0.0</v>
      </c>
      <c r="E23" s="37">
        <v>40.0</v>
      </c>
      <c r="F23" s="38">
        <v>1.4</v>
      </c>
      <c r="G23" s="39"/>
      <c r="H23" s="34" t="s">
        <v>220</v>
      </c>
      <c r="I23" s="34" t="s">
        <v>221</v>
      </c>
      <c r="J23" s="34" t="s">
        <v>222</v>
      </c>
      <c r="K23" s="30">
        <v>900.0</v>
      </c>
      <c r="L23" s="30">
        <v>150.0</v>
      </c>
      <c r="M23" s="30">
        <v>1500.0</v>
      </c>
      <c r="N23" s="34" t="s">
        <v>223</v>
      </c>
      <c r="O23" s="34" t="s">
        <v>180</v>
      </c>
      <c r="P23" s="34" t="s">
        <v>68</v>
      </c>
      <c r="Q23" s="34" t="s">
        <v>225</v>
      </c>
      <c r="R23" s="34" t="s">
        <v>226</v>
      </c>
      <c r="S23" s="34" t="s">
        <v>130</v>
      </c>
      <c r="T23" s="34" t="s">
        <v>177</v>
      </c>
    </row>
    <row r="24" ht="24.0" customHeight="1">
      <c r="A24" s="12">
        <v>5.0</v>
      </c>
      <c r="B24" s="16" t="s">
        <v>188</v>
      </c>
      <c r="C24" s="19" t="s">
        <v>49</v>
      </c>
      <c r="D24" s="21"/>
      <c r="E24" s="21">
        <v>10.0</v>
      </c>
      <c r="F24" s="23">
        <v>1.4</v>
      </c>
      <c r="G24" s="25"/>
      <c r="H24" s="19"/>
      <c r="I24" s="19"/>
      <c r="J24" s="19"/>
      <c r="K24" s="12">
        <v>60.0</v>
      </c>
      <c r="L24" s="12"/>
      <c r="M24" s="12"/>
      <c r="N24" s="19" t="s">
        <v>229</v>
      </c>
      <c r="O24" s="19" t="s">
        <v>59</v>
      </c>
      <c r="P24" s="19" t="s">
        <v>68</v>
      </c>
      <c r="Q24" s="19" t="s">
        <v>231</v>
      </c>
      <c r="R24" s="19" t="s">
        <v>114</v>
      </c>
      <c r="S24" s="19" t="s">
        <v>233</v>
      </c>
      <c r="T24" s="19" t="s">
        <v>177</v>
      </c>
    </row>
    <row r="25" ht="24.0" customHeight="1">
      <c r="A25" s="30">
        <v>6.0</v>
      </c>
      <c r="B25" s="33" t="s">
        <v>205</v>
      </c>
      <c r="C25" s="34" t="s">
        <v>49</v>
      </c>
      <c r="D25" s="37"/>
      <c r="E25" s="37"/>
      <c r="F25" s="38"/>
      <c r="G25" s="39"/>
      <c r="H25" s="34"/>
      <c r="I25" s="34"/>
      <c r="J25" s="34"/>
      <c r="K25" s="30">
        <v>100.0</v>
      </c>
      <c r="L25" s="30"/>
      <c r="M25" s="30"/>
      <c r="N25" s="34" t="s">
        <v>235</v>
      </c>
      <c r="O25" s="34"/>
      <c r="P25" s="34"/>
      <c r="Q25" s="34" t="s">
        <v>236</v>
      </c>
      <c r="R25" s="34" t="s">
        <v>40</v>
      </c>
      <c r="S25" s="34"/>
      <c r="T25" s="34" t="s">
        <v>177</v>
      </c>
    </row>
    <row r="26" ht="24.0" customHeight="1">
      <c r="A26" s="12">
        <v>7.0</v>
      </c>
      <c r="B26" s="16" t="s">
        <v>211</v>
      </c>
      <c r="C26" s="19" t="s">
        <v>49</v>
      </c>
      <c r="D26" s="21"/>
      <c r="E26" s="21"/>
      <c r="F26" s="23"/>
      <c r="G26" s="25"/>
      <c r="H26" s="19"/>
      <c r="I26" s="19"/>
      <c r="J26" s="19"/>
      <c r="K26" s="12">
        <v>20.0</v>
      </c>
      <c r="L26" s="12"/>
      <c r="M26" s="12"/>
      <c r="N26" s="19" t="s">
        <v>239</v>
      </c>
      <c r="O26" s="19"/>
      <c r="P26" s="19"/>
      <c r="Q26" s="19" t="s">
        <v>240</v>
      </c>
      <c r="R26" s="19" t="s">
        <v>40</v>
      </c>
      <c r="S26" s="19"/>
      <c r="T26" s="19" t="s">
        <v>177</v>
      </c>
    </row>
    <row r="27" ht="24.0" customHeight="1">
      <c r="A27" s="30">
        <v>8.0</v>
      </c>
      <c r="B27" s="33" t="s">
        <v>219</v>
      </c>
      <c r="C27" s="34" t="s">
        <v>49</v>
      </c>
      <c r="D27" s="37"/>
      <c r="E27" s="37"/>
      <c r="F27" s="38"/>
      <c r="G27" s="39"/>
      <c r="H27" s="34"/>
      <c r="I27" s="34"/>
      <c r="J27" s="34"/>
      <c r="K27" s="30">
        <v>30.0</v>
      </c>
      <c r="L27" s="30"/>
      <c r="M27" s="30"/>
      <c r="N27" s="34" t="s">
        <v>243</v>
      </c>
      <c r="O27" s="34"/>
      <c r="P27" s="34"/>
      <c r="Q27" s="34" t="s">
        <v>244</v>
      </c>
      <c r="R27" s="34" t="s">
        <v>40</v>
      </c>
      <c r="S27" s="34"/>
      <c r="T27" s="34" t="s">
        <v>177</v>
      </c>
    </row>
    <row r="28" ht="24.0" customHeight="1">
      <c r="A28" s="12">
        <v>9.0</v>
      </c>
      <c r="B28" s="16" t="s">
        <v>224</v>
      </c>
      <c r="C28" s="19" t="s">
        <v>49</v>
      </c>
      <c r="D28" s="21"/>
      <c r="E28" s="21"/>
      <c r="F28" s="23"/>
      <c r="G28" s="25"/>
      <c r="H28" s="19"/>
      <c r="I28" s="19"/>
      <c r="J28" s="19"/>
      <c r="K28" s="12">
        <v>150.0</v>
      </c>
      <c r="L28" s="12"/>
      <c r="M28" s="12"/>
      <c r="N28" s="19" t="s">
        <v>245</v>
      </c>
      <c r="O28" s="19"/>
      <c r="P28" s="19"/>
      <c r="Q28" s="19" t="s">
        <v>246</v>
      </c>
      <c r="R28" s="19" t="s">
        <v>67</v>
      </c>
      <c r="S28" s="19"/>
      <c r="T28" s="19" t="s">
        <v>177</v>
      </c>
    </row>
    <row r="29" ht="24.0" customHeight="1">
      <c r="A29" s="30">
        <v>10.0</v>
      </c>
      <c r="B29" s="33" t="s">
        <v>228</v>
      </c>
      <c r="C29" s="34" t="s">
        <v>49</v>
      </c>
      <c r="D29" s="37"/>
      <c r="E29" s="37"/>
      <c r="F29" s="38"/>
      <c r="G29" s="39"/>
      <c r="H29" s="34"/>
      <c r="I29" s="34"/>
      <c r="J29" s="34"/>
      <c r="K29" s="30">
        <v>100.0</v>
      </c>
      <c r="L29" s="30"/>
      <c r="M29" s="30"/>
      <c r="N29" s="34" t="s">
        <v>247</v>
      </c>
      <c r="O29" s="34" t="s">
        <v>59</v>
      </c>
      <c r="P29" s="34" t="s">
        <v>68</v>
      </c>
      <c r="Q29" s="34" t="s">
        <v>248</v>
      </c>
      <c r="R29" s="34" t="s">
        <v>82</v>
      </c>
      <c r="S29" s="34" t="s">
        <v>107</v>
      </c>
      <c r="T29" s="34" t="s">
        <v>177</v>
      </c>
    </row>
    <row r="30" ht="24.0" customHeight="1">
      <c r="A30" s="12">
        <v>11.0</v>
      </c>
      <c r="B30" s="16" t="s">
        <v>234</v>
      </c>
      <c r="C30" s="19" t="s">
        <v>49</v>
      </c>
      <c r="D30" s="21"/>
      <c r="E30" s="21"/>
      <c r="F30" s="23"/>
      <c r="G30" s="25"/>
      <c r="H30" s="19"/>
      <c r="I30" s="19"/>
      <c r="J30" s="19"/>
      <c r="K30" s="12"/>
      <c r="L30" s="12"/>
      <c r="M30" s="12"/>
      <c r="N30" s="19" t="s">
        <v>249</v>
      </c>
      <c r="O30" s="19"/>
      <c r="P30" s="19"/>
      <c r="Q30" s="19" t="s">
        <v>250</v>
      </c>
      <c r="R30" s="19" t="s">
        <v>40</v>
      </c>
      <c r="S30" s="19"/>
      <c r="T30" s="19" t="s">
        <v>177</v>
      </c>
    </row>
    <row r="31" ht="24.0" customHeight="1">
      <c r="A31" s="30">
        <v>12.0</v>
      </c>
      <c r="B31" s="33" t="s">
        <v>237</v>
      </c>
      <c r="C31" s="34" t="s">
        <v>49</v>
      </c>
      <c r="D31" s="37"/>
      <c r="E31" s="37"/>
      <c r="F31" s="38">
        <v>0.9</v>
      </c>
      <c r="G31" s="39"/>
      <c r="H31" s="34"/>
      <c r="I31" s="34"/>
      <c r="J31" s="34"/>
      <c r="K31" s="30">
        <v>250.0</v>
      </c>
      <c r="L31" s="30"/>
      <c r="M31" s="30"/>
      <c r="N31" s="34" t="s">
        <v>251</v>
      </c>
      <c r="O31" s="34" t="s">
        <v>241</v>
      </c>
      <c r="P31" s="34" t="s">
        <v>68</v>
      </c>
      <c r="Q31" s="34" t="s">
        <v>252</v>
      </c>
      <c r="R31" s="34" t="s">
        <v>40</v>
      </c>
      <c r="S31" s="34" t="s">
        <v>130</v>
      </c>
      <c r="T31" s="34" t="s">
        <v>177</v>
      </c>
    </row>
    <row r="32" ht="24.0" customHeight="1">
      <c r="A32" s="12">
        <v>13.0</v>
      </c>
      <c r="B32" s="16" t="s">
        <v>242</v>
      </c>
      <c r="C32" s="19" t="s">
        <v>49</v>
      </c>
      <c r="D32" s="21"/>
      <c r="E32" s="21"/>
      <c r="F32" s="23"/>
      <c r="G32" s="25"/>
      <c r="H32" s="19"/>
      <c r="I32" s="19"/>
      <c r="J32" s="19"/>
      <c r="K32" s="12">
        <v>40.0</v>
      </c>
      <c r="L32" s="12"/>
      <c r="M32" s="12"/>
      <c r="N32" s="19" t="s">
        <v>253</v>
      </c>
      <c r="O32" s="19"/>
      <c r="P32" s="19"/>
      <c r="Q32" s="19" t="s">
        <v>254</v>
      </c>
      <c r="R32" s="19" t="s">
        <v>40</v>
      </c>
      <c r="S32" s="19"/>
      <c r="T32" s="19" t="s">
        <v>177</v>
      </c>
    </row>
    <row r="33" ht="24.0" customHeight="1">
      <c r="A33" s="30">
        <v>14.0</v>
      </c>
      <c r="B33" s="33" t="s">
        <v>255</v>
      </c>
      <c r="C33" s="34" t="s">
        <v>49</v>
      </c>
      <c r="D33" s="37"/>
      <c r="E33" s="37"/>
      <c r="F33" s="38"/>
      <c r="G33" s="39"/>
      <c r="H33" s="34"/>
      <c r="I33" s="34"/>
      <c r="J33" s="34"/>
      <c r="K33" s="30">
        <v>30.0</v>
      </c>
      <c r="L33" s="30"/>
      <c r="M33" s="30"/>
      <c r="N33" s="34" t="s">
        <v>256</v>
      </c>
      <c r="O33" s="34"/>
      <c r="P33" s="34"/>
      <c r="Q33" s="34" t="s">
        <v>257</v>
      </c>
      <c r="R33" s="34" t="s">
        <v>40</v>
      </c>
      <c r="S33" s="34"/>
      <c r="T33" s="34" t="s">
        <v>177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T$33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62.0"/>
    <col customWidth="1" min="2" max="2" width="12.0"/>
    <col customWidth="1" min="3" max="3" width="43.0"/>
    <col customWidth="1" min="4" max="4" width="12.0"/>
    <col customWidth="1" min="5" max="5" width="9.0"/>
    <col customWidth="1" min="6" max="6" width="12.0"/>
    <col customWidth="1" min="7" max="7" width="37.0"/>
    <col customWidth="1" min="8" max="8" width="46.0"/>
    <col customWidth="1" min="9" max="9" width="14.0"/>
    <col customWidth="1" min="10" max="10" width="30.0"/>
    <col customWidth="1" min="11" max="11" width="58.0"/>
    <col customWidth="1" min="12" max="12" width="80.0"/>
    <col customWidth="1" min="13" max="26" width="8.71"/>
  </cols>
  <sheetData>
    <row r="1" ht="33.75" customHeight="1">
      <c r="A1" s="3" t="s">
        <v>0</v>
      </c>
      <c r="B1" s="3" t="s">
        <v>7</v>
      </c>
      <c r="C1" s="3" t="s">
        <v>11</v>
      </c>
      <c r="D1" s="3" t="s">
        <v>13</v>
      </c>
      <c r="E1" s="3" t="s">
        <v>16</v>
      </c>
      <c r="F1" s="3" t="s">
        <v>19</v>
      </c>
      <c r="G1" s="3" t="s">
        <v>22</v>
      </c>
      <c r="H1" s="3" t="s">
        <v>24</v>
      </c>
      <c r="I1" s="3" t="s">
        <v>26</v>
      </c>
      <c r="J1" s="3" t="s">
        <v>28</v>
      </c>
      <c r="K1" s="3" t="s">
        <v>30</v>
      </c>
      <c r="L1" s="3" t="s">
        <v>32</v>
      </c>
    </row>
    <row r="2" ht="34.5" customHeight="1">
      <c r="A2" s="8" t="s">
        <v>38</v>
      </c>
      <c r="B2" s="11" t="s">
        <v>40</v>
      </c>
      <c r="C2" s="15" t="s">
        <v>43</v>
      </c>
      <c r="D2" s="17">
        <v>200.0</v>
      </c>
      <c r="E2" s="17">
        <v>3.0</v>
      </c>
      <c r="F2" s="20">
        <v>2.5</v>
      </c>
      <c r="G2" s="11" t="s">
        <v>43</v>
      </c>
      <c r="H2" s="11" t="s">
        <v>53</v>
      </c>
      <c r="I2" s="24" t="s">
        <v>54</v>
      </c>
      <c r="J2" s="8" t="s">
        <v>58</v>
      </c>
      <c r="K2" s="8" t="s">
        <v>59</v>
      </c>
      <c r="L2" s="8" t="s">
        <v>61</v>
      </c>
    </row>
    <row r="3" ht="34.5" customHeight="1">
      <c r="A3" s="26" t="s">
        <v>38</v>
      </c>
      <c r="B3" s="27" t="s">
        <v>67</v>
      </c>
      <c r="C3" s="29" t="s">
        <v>71</v>
      </c>
      <c r="D3" s="31">
        <v>50.0</v>
      </c>
      <c r="E3" s="31"/>
      <c r="F3" s="32"/>
      <c r="G3" s="27" t="s">
        <v>76</v>
      </c>
      <c r="H3" s="27" t="s">
        <v>77</v>
      </c>
      <c r="I3" s="35" t="s">
        <v>79</v>
      </c>
      <c r="J3" s="26" t="s">
        <v>58</v>
      </c>
      <c r="K3" s="26" t="s">
        <v>59</v>
      </c>
      <c r="L3" s="26" t="s">
        <v>61</v>
      </c>
    </row>
    <row r="4" ht="34.5" customHeight="1">
      <c r="A4" s="8" t="s">
        <v>38</v>
      </c>
      <c r="B4" s="11" t="s">
        <v>82</v>
      </c>
      <c r="C4" s="15" t="s">
        <v>83</v>
      </c>
      <c r="D4" s="17">
        <v>40.0</v>
      </c>
      <c r="E4" s="17"/>
      <c r="F4" s="20"/>
      <c r="G4" s="11" t="s">
        <v>83</v>
      </c>
      <c r="H4" s="11" t="s">
        <v>84</v>
      </c>
      <c r="I4" s="24" t="s">
        <v>54</v>
      </c>
      <c r="J4" s="8" t="s">
        <v>86</v>
      </c>
      <c r="K4" s="8" t="s">
        <v>59</v>
      </c>
      <c r="L4" s="8" t="s">
        <v>61</v>
      </c>
    </row>
    <row r="5" ht="34.5" customHeight="1">
      <c r="A5" s="26" t="s">
        <v>38</v>
      </c>
      <c r="B5" s="27" t="s">
        <v>88</v>
      </c>
      <c r="C5" s="29" t="s">
        <v>90</v>
      </c>
      <c r="D5" s="31">
        <v>30.0</v>
      </c>
      <c r="E5" s="31"/>
      <c r="F5" s="32"/>
      <c r="G5" s="27" t="s">
        <v>92</v>
      </c>
      <c r="H5" s="27" t="s">
        <v>93</v>
      </c>
      <c r="I5" s="35" t="s">
        <v>79</v>
      </c>
      <c r="J5" s="26" t="s">
        <v>58</v>
      </c>
      <c r="K5" s="26" t="s">
        <v>59</v>
      </c>
      <c r="L5" s="26" t="s">
        <v>61</v>
      </c>
    </row>
    <row r="6" ht="34.5" customHeight="1">
      <c r="A6" s="8" t="s">
        <v>38</v>
      </c>
      <c r="B6" s="11" t="s">
        <v>98</v>
      </c>
      <c r="C6" s="15" t="s">
        <v>99</v>
      </c>
      <c r="D6" s="17">
        <v>30.0</v>
      </c>
      <c r="E6" s="17"/>
      <c r="F6" s="20"/>
      <c r="G6" s="11" t="s">
        <v>43</v>
      </c>
      <c r="H6" s="11" t="s">
        <v>53</v>
      </c>
      <c r="I6" s="35" t="s">
        <v>79</v>
      </c>
      <c r="J6" s="8" t="s">
        <v>58</v>
      </c>
      <c r="K6" s="8" t="s">
        <v>59</v>
      </c>
      <c r="L6" s="8" t="s">
        <v>61</v>
      </c>
    </row>
    <row r="7" ht="34.5" customHeight="1">
      <c r="A7" s="26" t="s">
        <v>38</v>
      </c>
      <c r="B7" s="27" t="s">
        <v>102</v>
      </c>
      <c r="C7" s="29" t="s">
        <v>92</v>
      </c>
      <c r="D7" s="31">
        <v>30.0</v>
      </c>
      <c r="E7" s="31"/>
      <c r="F7" s="32"/>
      <c r="G7" s="27" t="s">
        <v>92</v>
      </c>
      <c r="H7" s="27" t="s">
        <v>93</v>
      </c>
      <c r="I7" s="24" t="s">
        <v>54</v>
      </c>
      <c r="J7" s="26" t="s">
        <v>58</v>
      </c>
      <c r="K7" s="26" t="s">
        <v>59</v>
      </c>
      <c r="L7" s="26" t="s">
        <v>61</v>
      </c>
    </row>
    <row r="8" ht="34.5" customHeight="1">
      <c r="A8" s="8" t="s">
        <v>38</v>
      </c>
      <c r="B8" s="11" t="s">
        <v>108</v>
      </c>
      <c r="C8" s="15" t="s">
        <v>76</v>
      </c>
      <c r="D8" s="17">
        <v>20.0</v>
      </c>
      <c r="E8" s="17">
        <v>0.0</v>
      </c>
      <c r="F8" s="20">
        <v>2.0</v>
      </c>
      <c r="G8" s="11" t="s">
        <v>76</v>
      </c>
      <c r="H8" s="11" t="s">
        <v>77</v>
      </c>
      <c r="I8" s="24" t="s">
        <v>54</v>
      </c>
      <c r="J8" s="8" t="s">
        <v>58</v>
      </c>
      <c r="K8" s="8" t="s">
        <v>111</v>
      </c>
      <c r="L8" s="8"/>
    </row>
    <row r="9" ht="34.5" customHeight="1">
      <c r="A9" s="26" t="s">
        <v>38</v>
      </c>
      <c r="B9" s="27" t="s">
        <v>114</v>
      </c>
      <c r="C9" s="29" t="s">
        <v>115</v>
      </c>
      <c r="D9" s="31">
        <v>10.0</v>
      </c>
      <c r="E9" s="31"/>
      <c r="F9" s="32"/>
      <c r="G9" s="27" t="s">
        <v>115</v>
      </c>
      <c r="H9" s="27" t="s">
        <v>117</v>
      </c>
      <c r="I9" s="24" t="s">
        <v>54</v>
      </c>
      <c r="J9" s="26" t="s">
        <v>86</v>
      </c>
      <c r="K9" s="26"/>
      <c r="L9" s="26" t="s">
        <v>61</v>
      </c>
    </row>
    <row r="10" ht="34.5" customHeight="1">
      <c r="A10" s="8" t="s">
        <v>38</v>
      </c>
      <c r="B10" s="11" t="s">
        <v>121</v>
      </c>
      <c r="C10" s="15" t="s">
        <v>123</v>
      </c>
      <c r="D10" s="17"/>
      <c r="E10" s="17"/>
      <c r="F10" s="20"/>
      <c r="G10" s="11" t="s">
        <v>76</v>
      </c>
      <c r="H10" s="11" t="s">
        <v>77</v>
      </c>
      <c r="I10" s="35" t="s">
        <v>79</v>
      </c>
      <c r="J10" s="8" t="s">
        <v>58</v>
      </c>
      <c r="K10" s="8" t="s">
        <v>59</v>
      </c>
      <c r="L10" s="8" t="s">
        <v>61</v>
      </c>
    </row>
    <row r="11" ht="34.5" customHeight="1">
      <c r="A11" s="26" t="s">
        <v>38</v>
      </c>
      <c r="B11" s="27" t="s">
        <v>139</v>
      </c>
      <c r="C11" s="29" t="s">
        <v>141</v>
      </c>
      <c r="D11" s="31"/>
      <c r="E11" s="31"/>
      <c r="F11" s="32"/>
      <c r="G11" s="27" t="s">
        <v>76</v>
      </c>
      <c r="H11" s="27" t="s">
        <v>77</v>
      </c>
      <c r="I11" s="35" t="s">
        <v>79</v>
      </c>
      <c r="J11" s="26" t="s">
        <v>58</v>
      </c>
      <c r="K11" s="26"/>
      <c r="L11" s="26" t="s">
        <v>61</v>
      </c>
    </row>
    <row r="12" ht="34.5" customHeight="1">
      <c r="A12" s="8" t="s">
        <v>38</v>
      </c>
      <c r="B12" s="11" t="s">
        <v>143</v>
      </c>
      <c r="C12" s="15" t="s">
        <v>144</v>
      </c>
      <c r="D12" s="17"/>
      <c r="E12" s="17"/>
      <c r="F12" s="20"/>
      <c r="G12" s="11" t="s">
        <v>76</v>
      </c>
      <c r="H12" s="11" t="s">
        <v>77</v>
      </c>
      <c r="I12" s="35" t="s">
        <v>79</v>
      </c>
      <c r="J12" s="8" t="s">
        <v>58</v>
      </c>
      <c r="K12" s="8"/>
      <c r="L12" s="8" t="s">
        <v>61</v>
      </c>
    </row>
    <row r="13" ht="34.5" customHeight="1">
      <c r="A13" s="26" t="s">
        <v>38</v>
      </c>
      <c r="B13" s="27" t="s">
        <v>148</v>
      </c>
      <c r="C13" s="29" t="s">
        <v>149</v>
      </c>
      <c r="D13" s="31"/>
      <c r="E13" s="31"/>
      <c r="F13" s="32"/>
      <c r="G13" s="27" t="s">
        <v>115</v>
      </c>
      <c r="H13" s="27" t="s">
        <v>117</v>
      </c>
      <c r="I13" s="35" t="s">
        <v>79</v>
      </c>
      <c r="J13" s="26" t="s">
        <v>86</v>
      </c>
      <c r="K13" s="26"/>
      <c r="L13" s="26" t="s">
        <v>61</v>
      </c>
    </row>
    <row r="14" ht="34.5" customHeight="1">
      <c r="A14" s="8" t="s">
        <v>38</v>
      </c>
      <c r="B14" s="11" t="s">
        <v>152</v>
      </c>
      <c r="C14" s="15" t="s">
        <v>153</v>
      </c>
      <c r="D14" s="17"/>
      <c r="E14" s="17"/>
      <c r="F14" s="20"/>
      <c r="G14" s="11" t="s">
        <v>76</v>
      </c>
      <c r="H14" s="11" t="s">
        <v>77</v>
      </c>
      <c r="I14" s="35" t="s">
        <v>79</v>
      </c>
      <c r="J14" s="8" t="s">
        <v>58</v>
      </c>
      <c r="K14" s="8"/>
      <c r="L14" s="8" t="s">
        <v>61</v>
      </c>
    </row>
    <row r="15" ht="34.5" customHeight="1">
      <c r="A15" s="26" t="s">
        <v>38</v>
      </c>
      <c r="B15" s="27" t="s">
        <v>156</v>
      </c>
      <c r="C15" s="29" t="s">
        <v>157</v>
      </c>
      <c r="D15" s="31"/>
      <c r="E15" s="31"/>
      <c r="F15" s="32"/>
      <c r="G15" s="27" t="s">
        <v>43</v>
      </c>
      <c r="H15" s="27" t="s">
        <v>53</v>
      </c>
      <c r="I15" s="35" t="s">
        <v>79</v>
      </c>
      <c r="J15" s="26" t="s">
        <v>58</v>
      </c>
      <c r="K15" s="26"/>
      <c r="L15" s="26" t="s">
        <v>61</v>
      </c>
    </row>
    <row r="16" ht="34.5" customHeight="1">
      <c r="A16" s="8" t="s">
        <v>38</v>
      </c>
      <c r="B16" s="11" t="s">
        <v>160</v>
      </c>
      <c r="C16" s="15" t="s">
        <v>161</v>
      </c>
      <c r="D16" s="17"/>
      <c r="E16" s="17"/>
      <c r="F16" s="20"/>
      <c r="G16" s="11" t="s">
        <v>163</v>
      </c>
      <c r="H16" s="11" t="s">
        <v>164</v>
      </c>
      <c r="I16" s="35" t="s">
        <v>79</v>
      </c>
      <c r="J16" s="8" t="s">
        <v>86</v>
      </c>
      <c r="K16" s="8"/>
      <c r="L16" s="8" t="s">
        <v>61</v>
      </c>
    </row>
    <row r="17" ht="34.5" customHeight="1">
      <c r="A17" s="26" t="s">
        <v>38</v>
      </c>
      <c r="B17" s="27" t="s">
        <v>166</v>
      </c>
      <c r="C17" s="29" t="s">
        <v>168</v>
      </c>
      <c r="D17" s="31"/>
      <c r="E17" s="31"/>
      <c r="F17" s="32"/>
      <c r="G17" s="27" t="s">
        <v>83</v>
      </c>
      <c r="H17" s="27" t="s">
        <v>84</v>
      </c>
      <c r="I17" s="35" t="s">
        <v>79</v>
      </c>
      <c r="J17" s="26" t="s">
        <v>86</v>
      </c>
      <c r="K17" s="26"/>
      <c r="L17" s="26" t="s">
        <v>61</v>
      </c>
    </row>
    <row r="18" ht="34.5" customHeight="1">
      <c r="A18" s="8" t="s">
        <v>38</v>
      </c>
      <c r="B18" s="11" t="s">
        <v>170</v>
      </c>
      <c r="C18" s="15" t="s">
        <v>171</v>
      </c>
      <c r="D18" s="17"/>
      <c r="E18" s="17"/>
      <c r="F18" s="20"/>
      <c r="G18" s="11" t="s">
        <v>43</v>
      </c>
      <c r="H18" s="11" t="s">
        <v>53</v>
      </c>
      <c r="I18" s="35" t="s">
        <v>79</v>
      </c>
      <c r="J18" s="8" t="s">
        <v>58</v>
      </c>
      <c r="K18" s="8"/>
      <c r="L18" s="8" t="s">
        <v>61</v>
      </c>
    </row>
    <row r="19" ht="34.5" customHeight="1">
      <c r="A19" s="26" t="s">
        <v>38</v>
      </c>
      <c r="B19" s="27" t="s">
        <v>176</v>
      </c>
      <c r="C19" s="29" t="s">
        <v>163</v>
      </c>
      <c r="D19" s="31"/>
      <c r="E19" s="31"/>
      <c r="F19" s="32"/>
      <c r="G19" s="27" t="s">
        <v>163</v>
      </c>
      <c r="H19" s="27" t="s">
        <v>164</v>
      </c>
      <c r="I19" s="24" t="s">
        <v>54</v>
      </c>
      <c r="J19" s="26" t="s">
        <v>86</v>
      </c>
      <c r="K19" s="26"/>
      <c r="L19" s="26" t="s">
        <v>61</v>
      </c>
    </row>
    <row r="20" ht="34.5" customHeight="1">
      <c r="A20" s="8" t="s">
        <v>177</v>
      </c>
      <c r="B20" s="11" t="s">
        <v>40</v>
      </c>
      <c r="C20" s="15" t="s">
        <v>178</v>
      </c>
      <c r="D20" s="17">
        <v>100.0</v>
      </c>
      <c r="E20" s="17"/>
      <c r="F20" s="20"/>
      <c r="G20" s="11" t="s">
        <v>178</v>
      </c>
      <c r="H20" s="11" t="s">
        <v>179</v>
      </c>
      <c r="I20" s="24" t="s">
        <v>54</v>
      </c>
      <c r="J20" s="8" t="s">
        <v>58</v>
      </c>
      <c r="K20" s="8" t="s">
        <v>180</v>
      </c>
      <c r="L20" s="8" t="s">
        <v>61</v>
      </c>
    </row>
    <row r="21" ht="34.5" customHeight="1">
      <c r="A21" s="26" t="s">
        <v>177</v>
      </c>
      <c r="B21" s="27" t="s">
        <v>67</v>
      </c>
      <c r="C21" s="29" t="s">
        <v>181</v>
      </c>
      <c r="D21" s="31">
        <v>100.0</v>
      </c>
      <c r="E21" s="31">
        <v>0.0</v>
      </c>
      <c r="F21" s="32">
        <v>1.2</v>
      </c>
      <c r="G21" s="27" t="s">
        <v>181</v>
      </c>
      <c r="H21" s="27" t="s">
        <v>182</v>
      </c>
      <c r="I21" s="24" t="s">
        <v>54</v>
      </c>
      <c r="J21" s="26" t="s">
        <v>58</v>
      </c>
      <c r="K21" s="26" t="s">
        <v>183</v>
      </c>
      <c r="L21" s="26" t="s">
        <v>61</v>
      </c>
    </row>
    <row r="22" ht="34.5" customHeight="1">
      <c r="A22" s="8" t="s">
        <v>177</v>
      </c>
      <c r="B22" s="11" t="s">
        <v>82</v>
      </c>
      <c r="C22" s="15" t="s">
        <v>185</v>
      </c>
      <c r="D22" s="17">
        <v>50.0</v>
      </c>
      <c r="E22" s="17">
        <v>7.0</v>
      </c>
      <c r="F22" s="20">
        <v>4.0</v>
      </c>
      <c r="G22" s="11" t="s">
        <v>186</v>
      </c>
      <c r="H22" s="11" t="s">
        <v>187</v>
      </c>
      <c r="I22" s="35" t="s">
        <v>79</v>
      </c>
      <c r="J22" s="8" t="s">
        <v>58</v>
      </c>
      <c r="K22" s="8" t="s">
        <v>59</v>
      </c>
      <c r="L22" s="8" t="s">
        <v>61</v>
      </c>
    </row>
    <row r="23" ht="34.5" customHeight="1">
      <c r="A23" s="26" t="s">
        <v>177</v>
      </c>
      <c r="B23" s="27" t="s">
        <v>88</v>
      </c>
      <c r="C23" s="29" t="s">
        <v>186</v>
      </c>
      <c r="D23" s="31">
        <v>40.0</v>
      </c>
      <c r="E23" s="31">
        <v>0.0</v>
      </c>
      <c r="F23" s="32">
        <v>1.4</v>
      </c>
      <c r="G23" s="27" t="s">
        <v>186</v>
      </c>
      <c r="H23" s="27" t="s">
        <v>187</v>
      </c>
      <c r="I23" s="24" t="s">
        <v>54</v>
      </c>
      <c r="J23" s="26" t="s">
        <v>58</v>
      </c>
      <c r="K23" s="26" t="s">
        <v>180</v>
      </c>
      <c r="L23" s="26" t="s">
        <v>61</v>
      </c>
    </row>
    <row r="24" ht="34.5" customHeight="1">
      <c r="A24" s="8" t="s">
        <v>177</v>
      </c>
      <c r="B24" s="11" t="s">
        <v>98</v>
      </c>
      <c r="C24" s="15" t="s">
        <v>188</v>
      </c>
      <c r="D24" s="17">
        <v>10.0</v>
      </c>
      <c r="E24" s="17"/>
      <c r="F24" s="20">
        <v>1.4</v>
      </c>
      <c r="G24" s="11" t="s">
        <v>188</v>
      </c>
      <c r="H24" s="11" t="s">
        <v>189</v>
      </c>
      <c r="I24" s="24" t="s">
        <v>54</v>
      </c>
      <c r="J24" s="8" t="s">
        <v>191</v>
      </c>
      <c r="K24" s="8" t="s">
        <v>59</v>
      </c>
      <c r="L24" s="8" t="s">
        <v>202</v>
      </c>
    </row>
    <row r="25" ht="34.5" customHeight="1">
      <c r="A25" s="26" t="s">
        <v>177</v>
      </c>
      <c r="B25" s="27" t="s">
        <v>102</v>
      </c>
      <c r="C25" s="29" t="s">
        <v>205</v>
      </c>
      <c r="D25" s="31"/>
      <c r="E25" s="31"/>
      <c r="F25" s="32"/>
      <c r="G25" s="27" t="s">
        <v>205</v>
      </c>
      <c r="H25" s="27" t="s">
        <v>207</v>
      </c>
      <c r="I25" s="24" t="s">
        <v>54</v>
      </c>
      <c r="J25" s="26" t="s">
        <v>191</v>
      </c>
      <c r="K25" s="26"/>
      <c r="L25" s="26" t="s">
        <v>202</v>
      </c>
    </row>
    <row r="26" ht="34.5" customHeight="1">
      <c r="A26" s="8" t="s">
        <v>177</v>
      </c>
      <c r="B26" s="11" t="s">
        <v>108</v>
      </c>
      <c r="C26" s="15" t="s">
        <v>211</v>
      </c>
      <c r="D26" s="17"/>
      <c r="E26" s="17"/>
      <c r="F26" s="20"/>
      <c r="G26" s="11" t="s">
        <v>211</v>
      </c>
      <c r="H26" s="11" t="s">
        <v>214</v>
      </c>
      <c r="I26" s="24" t="s">
        <v>54</v>
      </c>
      <c r="J26" s="8" t="s">
        <v>86</v>
      </c>
      <c r="K26" s="8"/>
      <c r="L26" s="8" t="s">
        <v>61</v>
      </c>
    </row>
    <row r="27" ht="34.5" customHeight="1">
      <c r="A27" s="26" t="s">
        <v>177</v>
      </c>
      <c r="B27" s="27" t="s">
        <v>114</v>
      </c>
      <c r="C27" s="29" t="s">
        <v>219</v>
      </c>
      <c r="D27" s="31"/>
      <c r="E27" s="31"/>
      <c r="F27" s="32"/>
      <c r="G27" s="27" t="s">
        <v>178</v>
      </c>
      <c r="H27" s="27" t="s">
        <v>179</v>
      </c>
      <c r="I27" s="35" t="s">
        <v>79</v>
      </c>
      <c r="J27" s="26" t="s">
        <v>58</v>
      </c>
      <c r="K27" s="26"/>
      <c r="L27" s="26" t="s">
        <v>61</v>
      </c>
    </row>
    <row r="28" ht="34.5" customHeight="1">
      <c r="A28" s="8" t="s">
        <v>177</v>
      </c>
      <c r="B28" s="11" t="s">
        <v>121</v>
      </c>
      <c r="C28" s="15" t="s">
        <v>224</v>
      </c>
      <c r="D28" s="17"/>
      <c r="E28" s="17"/>
      <c r="F28" s="20"/>
      <c r="G28" s="11" t="s">
        <v>224</v>
      </c>
      <c r="H28" s="11" t="s">
        <v>227</v>
      </c>
      <c r="I28" s="24" t="s">
        <v>54</v>
      </c>
      <c r="J28" s="8" t="s">
        <v>86</v>
      </c>
      <c r="K28" s="8"/>
      <c r="L28" s="8" t="s">
        <v>61</v>
      </c>
    </row>
    <row r="29" ht="34.5" customHeight="1">
      <c r="A29" s="26" t="s">
        <v>177</v>
      </c>
      <c r="B29" s="27" t="s">
        <v>139</v>
      </c>
      <c r="C29" s="29" t="s">
        <v>228</v>
      </c>
      <c r="D29" s="31"/>
      <c r="E29" s="31"/>
      <c r="F29" s="32"/>
      <c r="G29" s="27" t="s">
        <v>228</v>
      </c>
      <c r="H29" s="27" t="s">
        <v>232</v>
      </c>
      <c r="I29" s="24" t="s">
        <v>54</v>
      </c>
      <c r="J29" s="26" t="s">
        <v>191</v>
      </c>
      <c r="K29" s="26" t="s">
        <v>59</v>
      </c>
      <c r="L29" s="26" t="s">
        <v>202</v>
      </c>
    </row>
    <row r="30" ht="34.5" customHeight="1">
      <c r="A30" s="8" t="s">
        <v>177</v>
      </c>
      <c r="B30" s="11" t="s">
        <v>143</v>
      </c>
      <c r="C30" s="15" t="s">
        <v>234</v>
      </c>
      <c r="D30" s="17"/>
      <c r="E30" s="17"/>
      <c r="F30" s="20"/>
      <c r="G30" s="11" t="s">
        <v>92</v>
      </c>
      <c r="H30" s="11" t="s">
        <v>93</v>
      </c>
      <c r="I30" s="35" t="s">
        <v>79</v>
      </c>
      <c r="J30" s="8" t="s">
        <v>58</v>
      </c>
      <c r="K30" s="8"/>
      <c r="L30" s="8" t="s">
        <v>61</v>
      </c>
    </row>
    <row r="31" ht="34.5" customHeight="1">
      <c r="A31" s="26" t="s">
        <v>177</v>
      </c>
      <c r="B31" s="27" t="s">
        <v>148</v>
      </c>
      <c r="C31" s="29" t="s">
        <v>237</v>
      </c>
      <c r="D31" s="31"/>
      <c r="E31" s="31"/>
      <c r="F31" s="32">
        <v>0.9</v>
      </c>
      <c r="G31" s="27" t="s">
        <v>237</v>
      </c>
      <c r="H31" s="27" t="s">
        <v>238</v>
      </c>
      <c r="I31" s="24" t="s">
        <v>54</v>
      </c>
      <c r="J31" s="26" t="s">
        <v>191</v>
      </c>
      <c r="K31" s="26" t="s">
        <v>241</v>
      </c>
      <c r="L31" s="26" t="s">
        <v>202</v>
      </c>
    </row>
    <row r="32" ht="34.5" customHeight="1">
      <c r="A32" s="8" t="s">
        <v>177</v>
      </c>
      <c r="B32" s="11" t="s">
        <v>152</v>
      </c>
      <c r="C32" s="15" t="s">
        <v>242</v>
      </c>
      <c r="D32" s="17"/>
      <c r="E32" s="17"/>
      <c r="F32" s="20"/>
      <c r="G32" s="11" t="s">
        <v>224</v>
      </c>
      <c r="H32" s="11" t="s">
        <v>227</v>
      </c>
      <c r="I32" s="35" t="s">
        <v>79</v>
      </c>
      <c r="J32" s="8" t="s">
        <v>86</v>
      </c>
      <c r="K32" s="8"/>
      <c r="L32" s="8" t="s">
        <v>61</v>
      </c>
    </row>
    <row r="33" ht="34.5" customHeight="1">
      <c r="A33" s="26" t="s">
        <v>177</v>
      </c>
      <c r="B33" s="27" t="s">
        <v>156</v>
      </c>
      <c r="C33" s="29" t="s">
        <v>255</v>
      </c>
      <c r="D33" s="31"/>
      <c r="E33" s="31"/>
      <c r="F33" s="32"/>
      <c r="G33" s="27" t="s">
        <v>186</v>
      </c>
      <c r="H33" s="27" t="s">
        <v>187</v>
      </c>
      <c r="I33" s="35" t="s">
        <v>79</v>
      </c>
      <c r="J33" s="26" t="s">
        <v>58</v>
      </c>
      <c r="K33" s="26"/>
      <c r="L33" s="26" t="s">
        <v>61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L$33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7.0"/>
    <col customWidth="1" min="2" max="2" width="25.0"/>
    <col customWidth="1" min="3" max="3" width="24.0"/>
    <col customWidth="1" min="4" max="4" width="26.0"/>
    <col customWidth="1" min="5" max="5" width="22.0"/>
    <col customWidth="1" min="6" max="6" width="64.0"/>
    <col customWidth="1" min="7" max="7" width="90.0"/>
    <col customWidth="1" min="8" max="26" width="8.71"/>
  </cols>
  <sheetData>
    <row r="1" ht="33.75" customHeight="1">
      <c r="A1" s="2" t="s">
        <v>1</v>
      </c>
      <c r="B1" s="2" t="s">
        <v>6</v>
      </c>
      <c r="C1" s="2" t="s">
        <v>9</v>
      </c>
      <c r="D1" s="2" t="s">
        <v>12</v>
      </c>
      <c r="E1" s="2" t="s">
        <v>15</v>
      </c>
      <c r="F1" s="2" t="s">
        <v>18</v>
      </c>
      <c r="G1" s="2" t="s">
        <v>21</v>
      </c>
    </row>
    <row r="2" ht="31.5" customHeight="1">
      <c r="A2" s="7">
        <v>1.0</v>
      </c>
      <c r="B2" s="7" t="s">
        <v>39</v>
      </c>
      <c r="C2" s="7">
        <v>15.0</v>
      </c>
      <c r="D2" s="10">
        <v>0.0</v>
      </c>
      <c r="E2" s="10"/>
      <c r="F2" s="13" t="s">
        <v>41</v>
      </c>
      <c r="G2" s="13" t="s">
        <v>47</v>
      </c>
    </row>
    <row r="3" ht="31.5" customHeight="1">
      <c r="A3" s="18">
        <v>2.0</v>
      </c>
      <c r="B3" s="18" t="s">
        <v>51</v>
      </c>
      <c r="C3" s="18">
        <v>15.0</v>
      </c>
      <c r="D3" s="10">
        <v>0.0</v>
      </c>
      <c r="E3" s="10"/>
      <c r="F3" s="22" t="s">
        <v>41</v>
      </c>
      <c r="G3" s="22" t="s">
        <v>47</v>
      </c>
    </row>
    <row r="4" ht="31.5" customHeight="1">
      <c r="A4" s="7">
        <v>3.0</v>
      </c>
      <c r="B4" s="7" t="s">
        <v>55</v>
      </c>
      <c r="C4" s="7">
        <v>15.0</v>
      </c>
      <c r="D4" s="10">
        <v>0.0</v>
      </c>
      <c r="E4" s="10"/>
      <c r="F4" s="13" t="s">
        <v>41</v>
      </c>
      <c r="G4" s="13" t="s">
        <v>47</v>
      </c>
    </row>
    <row r="5" ht="31.5" customHeight="1">
      <c r="A5" s="18">
        <v>4.0</v>
      </c>
      <c r="B5" s="18" t="s">
        <v>57</v>
      </c>
      <c r="C5" s="18">
        <v>15.0</v>
      </c>
      <c r="D5" s="10">
        <v>0.0</v>
      </c>
      <c r="E5" s="10"/>
      <c r="F5" s="22" t="s">
        <v>41</v>
      </c>
      <c r="G5" s="22" t="s">
        <v>47</v>
      </c>
    </row>
    <row r="6" ht="31.5" customHeight="1">
      <c r="A6" s="7">
        <v>5.0</v>
      </c>
      <c r="B6" s="7" t="s">
        <v>62</v>
      </c>
      <c r="C6" s="7">
        <v>15.0</v>
      </c>
      <c r="D6" s="10">
        <v>0.0</v>
      </c>
      <c r="E6" s="10"/>
      <c r="F6" s="13" t="s">
        <v>41</v>
      </c>
      <c r="G6" s="13" t="s">
        <v>47</v>
      </c>
    </row>
    <row r="7" ht="31.5" customHeight="1">
      <c r="A7" s="18">
        <v>6.0</v>
      </c>
      <c r="B7" s="18" t="s">
        <v>66</v>
      </c>
      <c r="C7" s="18">
        <v>15.0</v>
      </c>
      <c r="D7" s="10">
        <v>0.0</v>
      </c>
      <c r="E7" s="10"/>
      <c r="F7" s="22" t="s">
        <v>41</v>
      </c>
      <c r="G7" s="22" t="s">
        <v>47</v>
      </c>
    </row>
    <row r="8" ht="31.5" customHeight="1">
      <c r="A8" s="7">
        <v>7.0</v>
      </c>
      <c r="B8" s="7" t="s">
        <v>73</v>
      </c>
      <c r="C8" s="7">
        <v>15.0</v>
      </c>
      <c r="D8" s="10">
        <v>0.0</v>
      </c>
      <c r="E8" s="10"/>
      <c r="F8" s="13" t="s">
        <v>41</v>
      </c>
      <c r="G8" s="13" t="s">
        <v>47</v>
      </c>
    </row>
    <row r="9" ht="31.5" customHeight="1">
      <c r="A9" s="18">
        <v>8.0</v>
      </c>
      <c r="B9" s="18" t="s">
        <v>74</v>
      </c>
      <c r="C9" s="18">
        <v>15.0</v>
      </c>
      <c r="D9" s="10">
        <v>0.0</v>
      </c>
      <c r="E9" s="10"/>
      <c r="F9" s="22" t="s">
        <v>41</v>
      </c>
      <c r="G9" s="22" t="s">
        <v>47</v>
      </c>
    </row>
    <row r="10" ht="31.5" customHeight="1">
      <c r="A10" s="7">
        <v>9.0</v>
      </c>
      <c r="B10" s="7" t="s">
        <v>75</v>
      </c>
      <c r="C10" s="7">
        <v>15.0</v>
      </c>
      <c r="D10" s="10">
        <v>0.0</v>
      </c>
      <c r="E10" s="10"/>
      <c r="F10" s="13" t="s">
        <v>41</v>
      </c>
      <c r="G10" s="13" t="s">
        <v>47</v>
      </c>
    </row>
    <row r="11" ht="31.5" customHeight="1">
      <c r="A11" s="18">
        <v>10.0</v>
      </c>
      <c r="B11" s="18" t="s">
        <v>78</v>
      </c>
      <c r="C11" s="18">
        <v>15.0</v>
      </c>
      <c r="D11" s="10">
        <v>0.0</v>
      </c>
      <c r="E11" s="10"/>
      <c r="F11" s="22" t="s">
        <v>41</v>
      </c>
      <c r="G11" s="22" t="s">
        <v>47</v>
      </c>
    </row>
    <row r="12" ht="31.5" customHeight="1">
      <c r="A12" s="7">
        <v>11.0</v>
      </c>
      <c r="B12" s="7" t="s">
        <v>80</v>
      </c>
      <c r="C12" s="7">
        <v>15.0</v>
      </c>
      <c r="D12" s="10">
        <v>0.0</v>
      </c>
      <c r="E12" s="10"/>
      <c r="F12" s="13" t="s">
        <v>41</v>
      </c>
      <c r="G12" s="13" t="s">
        <v>47</v>
      </c>
    </row>
    <row r="13" ht="31.5" customHeight="1">
      <c r="A13" s="18">
        <v>12.0</v>
      </c>
      <c r="B13" s="18" t="s">
        <v>81</v>
      </c>
      <c r="C13" s="18">
        <v>15.0</v>
      </c>
      <c r="D13" s="10">
        <v>0.0</v>
      </c>
      <c r="E13" s="10"/>
      <c r="F13" s="22" t="s">
        <v>41</v>
      </c>
      <c r="G13" s="22" t="s">
        <v>47</v>
      </c>
    </row>
    <row r="14" ht="31.5" customHeight="1">
      <c r="A14" s="7">
        <v>13.0</v>
      </c>
      <c r="B14" s="7" t="s">
        <v>85</v>
      </c>
      <c r="C14" s="7">
        <v>15.0</v>
      </c>
      <c r="D14" s="10">
        <v>0.0</v>
      </c>
      <c r="E14" s="10"/>
      <c r="F14" s="13" t="s">
        <v>41</v>
      </c>
      <c r="G14" s="13" t="s">
        <v>47</v>
      </c>
    </row>
    <row r="15" ht="31.5" customHeight="1">
      <c r="A15" s="18">
        <v>14.0</v>
      </c>
      <c r="B15" s="18" t="s">
        <v>89</v>
      </c>
      <c r="C15" s="18">
        <v>15.0</v>
      </c>
      <c r="D15" s="10">
        <v>0.0</v>
      </c>
      <c r="E15" s="10"/>
      <c r="F15" s="22" t="s">
        <v>41</v>
      </c>
      <c r="G15" s="22" t="s">
        <v>47</v>
      </c>
    </row>
    <row r="16" ht="31.5" customHeight="1">
      <c r="A16" s="7">
        <v>15.0</v>
      </c>
      <c r="B16" s="7" t="s">
        <v>94</v>
      </c>
      <c r="C16" s="7">
        <v>15.0</v>
      </c>
      <c r="D16" s="10">
        <v>0.0</v>
      </c>
      <c r="E16" s="10"/>
      <c r="F16" s="13" t="s">
        <v>41</v>
      </c>
      <c r="G16" s="13" t="s">
        <v>47</v>
      </c>
    </row>
    <row r="17" ht="31.5" customHeight="1">
      <c r="A17" s="18">
        <v>16.0</v>
      </c>
      <c r="B17" s="18" t="s">
        <v>100</v>
      </c>
      <c r="C17" s="18">
        <v>15.0</v>
      </c>
      <c r="D17" s="10">
        <v>0.0</v>
      </c>
      <c r="E17" s="10"/>
      <c r="F17" s="22" t="s">
        <v>41</v>
      </c>
      <c r="G17" s="22" t="s">
        <v>47</v>
      </c>
    </row>
    <row r="18" ht="31.5" customHeight="1">
      <c r="A18" s="7">
        <v>17.0</v>
      </c>
      <c r="B18" s="7" t="s">
        <v>101</v>
      </c>
      <c r="C18" s="7">
        <v>15.0</v>
      </c>
      <c r="D18" s="10">
        <v>0.0</v>
      </c>
      <c r="E18" s="10"/>
      <c r="F18" s="13" t="s">
        <v>41</v>
      </c>
      <c r="G18" s="13" t="s">
        <v>47</v>
      </c>
    </row>
    <row r="19" ht="31.5" customHeight="1">
      <c r="A19" s="18">
        <v>18.0</v>
      </c>
      <c r="B19" s="18" t="s">
        <v>105</v>
      </c>
      <c r="C19" s="18">
        <v>15.0</v>
      </c>
      <c r="D19" s="10">
        <v>0.0</v>
      </c>
      <c r="E19" s="10"/>
      <c r="F19" s="22" t="s">
        <v>41</v>
      </c>
      <c r="G19" s="22" t="s">
        <v>47</v>
      </c>
    </row>
    <row r="20" ht="31.5" customHeight="1">
      <c r="A20" s="7">
        <v>19.0</v>
      </c>
      <c r="B20" s="7" t="s">
        <v>116</v>
      </c>
      <c r="C20" s="7">
        <v>15.0</v>
      </c>
      <c r="D20" s="10">
        <v>0.0</v>
      </c>
      <c r="E20" s="10"/>
      <c r="F20" s="13" t="s">
        <v>41</v>
      </c>
      <c r="G20" s="13" t="s">
        <v>47</v>
      </c>
    </row>
    <row r="21" ht="31.5" customHeight="1">
      <c r="A21" s="18">
        <v>20.0</v>
      </c>
      <c r="B21" s="18" t="s">
        <v>119</v>
      </c>
      <c r="C21" s="18">
        <v>15.0</v>
      </c>
      <c r="D21" s="10">
        <v>0.0</v>
      </c>
      <c r="E21" s="10"/>
      <c r="F21" s="22" t="s">
        <v>41</v>
      </c>
      <c r="G21" s="22" t="s">
        <v>47</v>
      </c>
    </row>
    <row r="22" ht="31.5" customHeight="1">
      <c r="A22" s="7">
        <v>21.0</v>
      </c>
      <c r="B22" s="7" t="s">
        <v>125</v>
      </c>
      <c r="C22" s="7">
        <v>15.0</v>
      </c>
      <c r="D22" s="10">
        <v>0.0</v>
      </c>
      <c r="E22" s="10"/>
      <c r="F22" s="13" t="s">
        <v>41</v>
      </c>
      <c r="G22" s="13" t="s">
        <v>47</v>
      </c>
    </row>
    <row r="23" ht="31.5" customHeight="1">
      <c r="A23" s="18">
        <v>22.0</v>
      </c>
      <c r="B23" s="18" t="s">
        <v>127</v>
      </c>
      <c r="C23" s="18">
        <v>15.0</v>
      </c>
      <c r="D23" s="10">
        <v>0.0</v>
      </c>
      <c r="E23" s="10"/>
      <c r="F23" s="22" t="s">
        <v>41</v>
      </c>
      <c r="G23" s="22" t="s">
        <v>47</v>
      </c>
    </row>
    <row r="24" ht="31.5" customHeight="1">
      <c r="A24" s="7">
        <v>23.0</v>
      </c>
      <c r="B24" s="7" t="s">
        <v>131</v>
      </c>
      <c r="C24" s="7">
        <v>15.0</v>
      </c>
      <c r="D24" s="10">
        <v>0.0</v>
      </c>
      <c r="E24" s="10"/>
      <c r="F24" s="13" t="s">
        <v>41</v>
      </c>
      <c r="G24" s="13" t="s">
        <v>47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24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7.0"/>
    <col customWidth="1" min="2" max="2" width="64.0"/>
    <col customWidth="1" min="3" max="3" width="110.0"/>
    <col customWidth="1" min="4" max="26" width="8.71"/>
  </cols>
  <sheetData>
    <row r="1" ht="39.75" customHeight="1">
      <c r="A1" s="63" t="s">
        <v>260</v>
      </c>
      <c r="B1" s="5"/>
      <c r="C1" s="6"/>
    </row>
    <row r="3" ht="42.0" customHeight="1">
      <c r="A3" s="65" t="s">
        <v>261</v>
      </c>
      <c r="B3" s="66" t="s">
        <v>262</v>
      </c>
      <c r="C3" s="66" t="s">
        <v>263</v>
      </c>
    </row>
    <row r="4" ht="42.0" customHeight="1">
      <c r="A4" s="67" t="s">
        <v>264</v>
      </c>
      <c r="B4" s="68" t="s">
        <v>38</v>
      </c>
      <c r="C4" s="68" t="s">
        <v>265</v>
      </c>
    </row>
    <row r="5" ht="42.0" customHeight="1">
      <c r="A5" s="65" t="s">
        <v>266</v>
      </c>
      <c r="B5" s="66" t="s">
        <v>177</v>
      </c>
      <c r="C5" s="66" t="s">
        <v>267</v>
      </c>
    </row>
    <row r="6" ht="42.0" customHeight="1">
      <c r="A6" s="67" t="s">
        <v>268</v>
      </c>
      <c r="B6" s="68">
        <v>32.0</v>
      </c>
      <c r="C6" s="68" t="s">
        <v>269</v>
      </c>
    </row>
    <row r="7" ht="42.0" customHeight="1">
      <c r="A7" s="65" t="s">
        <v>270</v>
      </c>
      <c r="B7" s="66">
        <v>15.0</v>
      </c>
      <c r="C7" s="66" t="s">
        <v>272</v>
      </c>
    </row>
    <row r="8" ht="42.0" customHeight="1">
      <c r="A8" s="67" t="s">
        <v>273</v>
      </c>
      <c r="B8" s="68">
        <v>360.0</v>
      </c>
      <c r="C8" s="68" t="s">
        <v>274</v>
      </c>
    </row>
    <row r="9" ht="42.0" customHeight="1">
      <c r="A9" s="65" t="s">
        <v>275</v>
      </c>
      <c r="B9" s="66">
        <v>13.0</v>
      </c>
      <c r="C9" s="66" t="s">
        <v>276</v>
      </c>
    </row>
    <row r="10" ht="42.0" customHeight="1">
      <c r="A10" s="67" t="s">
        <v>277</v>
      </c>
      <c r="B10" s="68">
        <v>5.0</v>
      </c>
      <c r="C10" s="68" t="s">
        <v>278</v>
      </c>
    </row>
    <row r="11" ht="42.0" customHeight="1">
      <c r="A11" s="65" t="s">
        <v>279</v>
      </c>
      <c r="B11" s="66">
        <v>7.0</v>
      </c>
      <c r="C11" s="66" t="s">
        <v>280</v>
      </c>
    </row>
    <row r="12" ht="42.0" customHeight="1">
      <c r="A12" s="67" t="s">
        <v>281</v>
      </c>
      <c r="B12" s="68">
        <v>0.0</v>
      </c>
      <c r="C12" s="68" t="s">
        <v>282</v>
      </c>
    </row>
    <row r="13" ht="42.0" customHeight="1">
      <c r="A13" s="65" t="s">
        <v>283</v>
      </c>
      <c r="B13" s="66" t="s">
        <v>41</v>
      </c>
      <c r="C13" s="66" t="s">
        <v>284</v>
      </c>
    </row>
    <row r="14" ht="42.0" customHeight="1">
      <c r="A14" s="67" t="s">
        <v>285</v>
      </c>
      <c r="B14" s="68" t="s">
        <v>286</v>
      </c>
      <c r="C14" s="68" t="s">
        <v>287</v>
      </c>
    </row>
    <row r="15" ht="42.0" customHeight="1">
      <c r="A15" s="65" t="s">
        <v>288</v>
      </c>
      <c r="B15" s="66" t="s">
        <v>289</v>
      </c>
      <c r="C15" s="66" t="s">
        <v>290</v>
      </c>
    </row>
    <row r="16" ht="42.0" customHeight="1">
      <c r="A16" s="67" t="s">
        <v>291</v>
      </c>
      <c r="B16" s="68" t="s">
        <v>292</v>
      </c>
      <c r="C16" s="68" t="s">
        <v>293</v>
      </c>
    </row>
    <row r="17" ht="42.0" customHeight="1">
      <c r="A17" s="65" t="s">
        <v>294</v>
      </c>
      <c r="B17" s="66" t="s">
        <v>292</v>
      </c>
      <c r="C17" s="66" t="s">
        <v>295</v>
      </c>
    </row>
    <row r="18" ht="42.0" customHeight="1">
      <c r="A18" s="67" t="s">
        <v>296</v>
      </c>
      <c r="B18" s="68" t="s">
        <v>297</v>
      </c>
      <c r="C18" s="68" t="s">
        <v>298</v>
      </c>
    </row>
    <row r="19" ht="42.0" customHeight="1">
      <c r="A19" s="65" t="s">
        <v>299</v>
      </c>
      <c r="B19" s="66" t="s">
        <v>300</v>
      </c>
      <c r="C19" s="66" t="s">
        <v>301</v>
      </c>
    </row>
    <row r="20" ht="42.0" customHeight="1">
      <c r="A20" s="67" t="s">
        <v>56</v>
      </c>
      <c r="B20" s="68" t="s">
        <v>184</v>
      </c>
      <c r="C20" s="68" t="s">
        <v>302</v>
      </c>
    </row>
    <row r="21" ht="42.0" customHeight="1">
      <c r="A21" s="65" t="s">
        <v>303</v>
      </c>
      <c r="B21" s="66" t="s">
        <v>304</v>
      </c>
      <c r="C21" s="66" t="s">
        <v>305</v>
      </c>
    </row>
    <row r="22" ht="42.0" customHeight="1">
      <c r="A22" s="67" t="s">
        <v>306</v>
      </c>
      <c r="B22" s="68" t="s">
        <v>307</v>
      </c>
      <c r="C22" s="68" t="s">
        <v>308</v>
      </c>
    </row>
    <row r="23" ht="42.0" customHeight="1">
      <c r="A23" s="65" t="s">
        <v>309</v>
      </c>
      <c r="B23" s="66" t="s">
        <v>310</v>
      </c>
      <c r="C23" s="66" t="s">
        <v>311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